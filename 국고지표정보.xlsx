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udy\Infomax\"/>
    </mc:Choice>
  </mc:AlternateContent>
  <xr:revisionPtr revIDLastSave="0" documentId="8_{20468A49-D4BD-4140-9849-BB508E3B2A56}" xr6:coauthVersionLast="47" xr6:coauthVersionMax="47" xr10:uidLastSave="{00000000-0000-0000-0000-000000000000}"/>
  <bookViews>
    <workbookView xWindow="10275" yWindow="870" windowWidth="29580" windowHeight="15345" xr2:uid="{ED90F527-DE13-4F23-8377-203EE1515A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GT2" i="1"/>
  <c r="FU2" i="1"/>
  <c r="EV2" i="1"/>
  <c r="DW2" i="1"/>
  <c r="CX2" i="1"/>
  <c r="BY2" i="1"/>
  <c r="AZ2" i="1"/>
  <c r="AA2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HyunSoo Kim</author>
  </authors>
  <commentList>
    <comment ref="I1" authorId="0" shapeId="0" xr:uid="{9CCE2533-34B4-4C28-8972-6926BBFE0238}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 xr:uid="{D5487D5F-1BE3-4130-9E61-B43D579218AF}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 xr:uid="{01980E02-ED77-42D7-9D92-65AF48000696}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  <comment ref="L3" authorId="0" shapeId="0" xr:uid="{B6F5997E-26A1-42CD-8BBA-10DA3EBB7C0D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M3" authorId="0" shapeId="0" xr:uid="{62F3177A-5130-443C-9BB6-612BB0432F81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N3" authorId="0" shapeId="0" xr:uid="{6A0C2F10-B098-4080-BFA0-94E42D064A1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O3" authorId="0" shapeId="0" xr:uid="{5774C87A-2BDC-4C98-9AF0-8F12E4CB8182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D043FA1F-2F8E-49B7-85EE-91A285E7CB0B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Q3" authorId="0" shapeId="0" xr:uid="{41EC18F7-1DD8-45CD-AC2B-765841AEF06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R3" authorId="0" shapeId="0" xr:uid="{ED1EBCF4-58C2-473C-9EAC-EB36112795F4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S3" authorId="0" shapeId="0" xr:uid="{4648722D-1930-4736-A1CE-9AC3459645BB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T3" authorId="0" shapeId="0" xr:uid="{9387FC49-02D8-4468-B498-02163A929853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U3" authorId="0" shapeId="0" xr:uid="{DF5B45B6-D48A-45CC-8DEB-95FB279C175D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V3" authorId="0" shapeId="0" xr:uid="{D614BF0A-B112-4CBA-8517-8D3FA881CBB6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W3" authorId="0" shapeId="0" xr:uid="{D3734957-CB36-4282-8362-4CEE683C72C3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X3" authorId="0" shapeId="0" xr:uid="{497695ED-DF94-4B35-94E9-FB0D8897E878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Y3" authorId="0" shapeId="0" xr:uid="{5CA5A21F-F591-44BE-8FD6-B1794E893491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Z3" authorId="0" shapeId="0" xr:uid="{856CB093-A87C-4CA0-AB61-62E44244D90F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AK3" authorId="0" shapeId="0" xr:uid="{4D0FD539-4B73-4694-8EDA-C2B2206D3E55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L3" authorId="0" shapeId="0" xr:uid="{52F6530F-0BB6-4D93-984E-731C185ECB0C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M3" authorId="0" shapeId="0" xr:uid="{715CC129-1384-4953-A114-6D0BE1F3F15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N3" authorId="0" shapeId="0" xr:uid="{EDBF170D-15B2-406F-8F99-A5245DF239D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4CB3477E-2603-45A8-8D84-166B2B566D9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P3" authorId="0" shapeId="0" xr:uid="{9FDD2DB6-1978-4BAA-809E-70EEF2AD037C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Q3" authorId="0" shapeId="0" xr:uid="{CDB9789A-AB39-4737-938A-F45B764BB08D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R3" authorId="0" shapeId="0" xr:uid="{5D4CF752-C14A-4661-A7DE-926E789A9475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S3" authorId="0" shapeId="0" xr:uid="{1FA32C99-22FC-4430-BC95-EE388B4C7667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AT3" authorId="0" shapeId="0" xr:uid="{294F8DF7-31FF-475E-9381-86C587C639C4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AU3" authorId="0" shapeId="0" xr:uid="{D8E56281-78B1-40DD-BE4F-CF4C6994393A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AV3" authorId="0" shapeId="0" xr:uid="{7DD51321-3AC5-4C2E-9677-2DD088235092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AW3" authorId="0" shapeId="0" xr:uid="{B3EE7707-39A2-4D03-A14F-D80B1930B903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AX3" authorId="0" shapeId="0" xr:uid="{3E2B4879-DA14-4568-8B60-145740AE7CAA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AY3" authorId="0" shapeId="0" xr:uid="{04DE2DE8-B0F3-4512-803E-A970F92D4BF7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BJ3" authorId="0" shapeId="0" xr:uid="{0717D9F8-F7CB-4919-ACE3-486FC0371C8B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K3" authorId="0" shapeId="0" xr:uid="{86C2937F-E2CD-4A94-8879-812C034779B0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L3" authorId="0" shapeId="0" xr:uid="{4C6D6B26-E9FD-4B28-B8EA-549242202694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M3" authorId="0" shapeId="0" xr:uid="{A013B183-74A3-4878-962E-3FC1EF8C8C6B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DDD7EEB5-95D5-434E-85DC-B14227ECE56D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O3" authorId="0" shapeId="0" xr:uid="{563CC074-BCB2-4B2D-9742-F3B09DE87051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P3" authorId="0" shapeId="0" xr:uid="{D91F24D9-7857-4E1E-BFE8-A03F0A204EB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Q3" authorId="0" shapeId="0" xr:uid="{D80E99A5-942A-4DDB-9443-A9974CEDAE9C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R3" authorId="0" shapeId="0" xr:uid="{566E2A16-06C4-4826-8649-B24A8ED90F0F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BS3" authorId="0" shapeId="0" xr:uid="{8AD7A24C-02A8-4FE0-B592-0484F6F70C98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BT3" authorId="0" shapeId="0" xr:uid="{6B47938C-E69E-416A-84CD-3687BD4B2D79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BU3" authorId="0" shapeId="0" xr:uid="{B767E4C3-D5A7-42A3-AFA4-72029F75B163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BV3" authorId="0" shapeId="0" xr:uid="{79FE3294-47D1-41F4-8DE4-56BC6D39EF99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BW3" authorId="0" shapeId="0" xr:uid="{FE51A4C7-605A-4352-823D-985393F7D4BE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BX3" authorId="0" shapeId="0" xr:uid="{8E83D39B-6BB1-4393-91C4-1065E226F35A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CI3" authorId="0" shapeId="0" xr:uid="{B13752DA-5B52-48BC-996F-EBF4BFD034B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CJ3" authorId="0" shapeId="0" xr:uid="{59140699-74B1-41A5-88D6-CA8B7DADB16D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CK3" authorId="0" shapeId="0" xr:uid="{95DB3A5B-0BDD-46CE-9069-5252646A285C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CL3" authorId="0" shapeId="0" xr:uid="{91CF0EBD-800C-435C-B2DC-DC597ADD3EC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CM3" authorId="0" shapeId="0" xr:uid="{C1681D58-EBED-40F1-8C96-51151220F5D4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CN3" authorId="0" shapeId="0" xr:uid="{623ED99E-0AB7-49EC-A4C6-0AD236BBE4E1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CO3" authorId="0" shapeId="0" xr:uid="{3526F580-23EA-4C8D-9AEC-1936C863AA05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CP3" authorId="0" shapeId="0" xr:uid="{F303364B-039F-45DB-906F-8C5DA56E8C3C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CQ3" authorId="0" shapeId="0" xr:uid="{AC562BAF-0921-4805-9487-1EA62F565F3F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CR3" authorId="0" shapeId="0" xr:uid="{33A59C1D-F7B3-41F0-A459-96522C680F28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CS3" authorId="0" shapeId="0" xr:uid="{9A92CA23-F426-4BCB-BF42-2DEE37A9C398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CT3" authorId="0" shapeId="0" xr:uid="{BB7639E5-C435-44B5-853F-D76CC78BF2A9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CU3" authorId="0" shapeId="0" xr:uid="{380948EF-5851-4758-804E-C3CA0693AA44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CV3" authorId="0" shapeId="0" xr:uid="{951CAB42-E4F3-45F1-9682-607DA344FFF7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CW3" authorId="0" shapeId="0" xr:uid="{31A3D309-386E-4984-8752-941B372CF1A7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DH3" authorId="0" shapeId="0" xr:uid="{6688CAEA-8E31-4DC2-A5FE-40FCB0E339B8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DI3" authorId="0" shapeId="0" xr:uid="{8E57F837-91BE-4F3A-AE9F-49E400EF8224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DJ3" authorId="0" shapeId="0" xr:uid="{B53225FB-9546-4BAB-BD9E-A17EDC7D2064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DK3" authorId="0" shapeId="0" xr:uid="{BEE1B13A-8009-403A-9EF0-C6A11E7DEA90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DL3" authorId="0" shapeId="0" xr:uid="{E4DB1915-CC16-4D01-A8FF-EDBC4C17B1F2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DM3" authorId="0" shapeId="0" xr:uid="{BBAEE239-E71A-4678-9488-393014A71AA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DN3" authorId="0" shapeId="0" xr:uid="{33144805-FC7A-4A4E-9695-DF8CEBBAD0F5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DO3" authorId="0" shapeId="0" xr:uid="{0A736234-E94A-4D69-BE4F-C72029FA4A2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DP3" authorId="0" shapeId="0" xr:uid="{C24A7193-EDCD-48CF-9042-83190A6EEB39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DQ3" authorId="0" shapeId="0" xr:uid="{E126283D-8582-40A7-8E04-09CCE7ED91D1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DR3" authorId="0" shapeId="0" xr:uid="{F1229BB1-9C4C-4065-B6E2-89F6B1811A08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DS3" authorId="0" shapeId="0" xr:uid="{0878DFC1-8E8B-4718-B0AA-BCC32737CFE6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DT3" authorId="0" shapeId="0" xr:uid="{C4BB100F-1F38-452C-9107-9B252BA2C878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DU3" authorId="0" shapeId="0" xr:uid="{93766B74-34CC-4695-8BD4-D8334DA01B15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DV3" authorId="0" shapeId="0" xr:uid="{68A57D92-C87A-49BB-9128-BF7222585B8B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EG3" authorId="0" shapeId="0" xr:uid="{28D324E4-2861-47F8-A9AE-9863221CAFA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EH3" authorId="0" shapeId="0" xr:uid="{103E1F05-7D71-4749-BA71-4225B973F0A5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EI3" authorId="0" shapeId="0" xr:uid="{16048B17-63BF-4681-8D1B-4AC420FEAAE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EJ3" authorId="0" shapeId="0" xr:uid="{FC858CC1-EDC6-4027-9222-81503F0C280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EK3" authorId="0" shapeId="0" xr:uid="{222926BF-2BEE-47EF-982A-FEA1EF7E945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EL3" authorId="0" shapeId="0" xr:uid="{E7699E9B-2041-42BB-9A60-E29DA1B8AD51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EM3" authorId="0" shapeId="0" xr:uid="{5D82569E-9BE5-4C8D-A75D-5D079FCD85F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EN3" authorId="0" shapeId="0" xr:uid="{E4DBDB9B-389F-481D-A2BA-25394586933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EO3" authorId="0" shapeId="0" xr:uid="{C42F6479-F910-4186-8572-45AB03324BDB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EP3" authorId="0" shapeId="0" xr:uid="{C151D48F-B0F5-40FA-9E3E-52E6D3067065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EQ3" authorId="0" shapeId="0" xr:uid="{F5D71FC8-F76A-48E9-A35C-BD99CDEA21F8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ER3" authorId="0" shapeId="0" xr:uid="{EB534A21-6A9B-47E3-AB1C-9EFE68A3D41C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ES3" authorId="0" shapeId="0" xr:uid="{D3615844-9902-4EEC-BEC4-8A36468578A8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ET3" authorId="0" shapeId="0" xr:uid="{DBC92AC5-D5A0-4462-A448-332ED5F6459B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EU3" authorId="0" shapeId="0" xr:uid="{95BBEBB9-1776-4D5F-9F87-05086DBFEA37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FF3" authorId="0" shapeId="0" xr:uid="{D1982346-4FA7-4C8D-98A8-0968FF7E4B8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FG3" authorId="0" shapeId="0" xr:uid="{F9AB9E6D-2364-431F-BB18-CE688B152F15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FH3" authorId="0" shapeId="0" xr:uid="{ADCB7292-BA93-406A-A2C3-110144C3D1DD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FI3" authorId="0" shapeId="0" xr:uid="{14AA0232-6462-4009-B33C-0F431A796F78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FJ3" authorId="0" shapeId="0" xr:uid="{5A80E716-8954-474B-89D6-E5FCB7EA37BC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FK3" authorId="0" shapeId="0" xr:uid="{7222920A-29E7-4DD9-98CB-C67756357052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FL3" authorId="0" shapeId="0" xr:uid="{58AFB7B0-4D2C-462B-A232-1B31229C782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FM3" authorId="0" shapeId="0" xr:uid="{C99FE1AE-2F12-4D14-8F09-AD409858B41C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FN3" authorId="0" shapeId="0" xr:uid="{88AACFFF-4023-4467-8086-E7B30BAAEFC9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FO3" authorId="0" shapeId="0" xr:uid="{DE1E205E-ED33-4B48-AD8B-51BDBF0BDD7B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FP3" authorId="0" shapeId="0" xr:uid="{95E451AA-6360-4F10-B182-A482C6084FC4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FQ3" authorId="0" shapeId="0" xr:uid="{E1CE26DD-1A7D-4641-AAC8-A65814FB96EF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FR3" authorId="0" shapeId="0" xr:uid="{23D3A2C0-8B67-41FF-869B-8BE64ABE7D2A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FS3" authorId="0" shapeId="0" xr:uid="{B6D92772-7436-4A6D-B991-8DC699FFFBAC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FT3" authorId="0" shapeId="0" xr:uid="{06F9DFBF-4DE4-4209-8651-6F4FB3E18B0A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GE3" authorId="0" shapeId="0" xr:uid="{C1B28C87-7544-4DE4-AA36-F6FFB94EDC38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GF3" authorId="0" shapeId="0" xr:uid="{E66E853B-8252-445D-9073-3023A6B1FA5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GG3" authorId="0" shapeId="0" xr:uid="{F5753D62-8DE4-43B8-BDF3-3A024E7FFD9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GH3" authorId="0" shapeId="0" xr:uid="{F9AE720E-4E1D-48E3-B22C-28B42CE5B4C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GI3" authorId="0" shapeId="0" xr:uid="{86139527-1940-4F67-B7E9-5C7402F83DA2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GJ3" authorId="0" shapeId="0" xr:uid="{674833E9-67BA-4D5F-8E14-46952ADB1D41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GK3" authorId="0" shapeId="0" xr:uid="{E067709A-116A-4904-9D21-D7FF8835BE2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GL3" authorId="0" shapeId="0" xr:uid="{D1DE7F2D-A9CF-49FB-B44F-4B2E9239D2A2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GM3" authorId="0" shapeId="0" xr:uid="{24F5DB25-2B89-4629-B268-D6B5B5B3C603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GN3" authorId="0" shapeId="0" xr:uid="{1CC60384-6E5C-479B-B961-A54CFFC0C0F5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GO3" authorId="0" shapeId="0" xr:uid="{BE356C73-D2AC-4180-9AE7-6003DA2D866C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GP3" authorId="0" shapeId="0" xr:uid="{CD24E490-98F0-49A7-B4A7-A5715AA1B766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GQ3" authorId="0" shapeId="0" xr:uid="{CC6C1A98-48E0-48EF-9176-2529D808059D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GR3" authorId="0" shapeId="0" xr:uid="{E31B7213-4B21-436C-8598-8EDBA9CBFCF7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GS3" authorId="0" shapeId="0" xr:uid="{E86EAB1B-022F-486C-9C2B-ED74D5FFEE9E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HD3" authorId="0" shapeId="0" xr:uid="{738A9DB7-1309-462B-96F8-68899ABF7D3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HE3" authorId="0" shapeId="0" xr:uid="{D741AD3A-8CCE-4B03-B8BF-A9D49B72108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HF3" authorId="0" shapeId="0" xr:uid="{66A8E866-E512-4B18-968A-7099A1AC7C3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HG3" authorId="0" shapeId="0" xr:uid="{FE1BA7AF-72BA-43B3-822F-334F1B4EE86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HH3" authorId="0" shapeId="0" xr:uid="{DAC16D1C-E6CF-4513-AC19-8E5CEF5CC6D0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HI3" authorId="0" shapeId="0" xr:uid="{EDF33D07-4525-4AB2-A8AA-0BF84FA48CD4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HJ3" authorId="0" shapeId="0" xr:uid="{00A208E0-9C7E-42D5-8E6F-861707001584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HK3" authorId="0" shapeId="0" xr:uid="{975EA9A4-8F79-453C-B9B4-2063632C9425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HL3" authorId="0" shapeId="0" xr:uid="{8B68CE57-4485-4D1B-B770-32506C21CB2E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HM3" authorId="0" shapeId="0" xr:uid="{918C509F-80C4-4EF0-B7B3-06DAD003E33F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HN3" authorId="0" shapeId="0" xr:uid="{4C1AAE69-4D53-4E4F-8BDA-F710411E306F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HO3" authorId="0" shapeId="0" xr:uid="{92A0F1A7-060E-4301-8449-DFF73FE97754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HP3" authorId="0" shapeId="0" xr:uid="{2443E314-20EA-46E6-AC78-4FEBBFB598D1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HQ3" authorId="0" shapeId="0" xr:uid="{F6A63736-6D9F-49DA-8272-3C5C1F11CDB0}">
      <text>
        <r>
          <rPr>
            <b/>
            <sz val="9"/>
            <color indexed="81"/>
            <rFont val="Tahoma"/>
            <family val="2"/>
          </rPr>
          <t>(단위: 만)</t>
        </r>
      </text>
    </comment>
    <comment ref="HR3" authorId="0" shapeId="0" xr:uid="{1BBDCBDA-D5AF-48AA-9A37-1EB377AA8F5C}">
      <text>
        <r>
          <rPr>
            <b/>
            <sz val="9"/>
            <color indexed="81"/>
            <rFont val="Tahoma"/>
            <family val="2"/>
          </rPr>
          <t>(단위: 만)</t>
        </r>
      </text>
    </comment>
  </commentList>
</comments>
</file>

<file path=xl/sharedStrings.xml><?xml version="1.0" encoding="utf-8"?>
<sst xmlns="http://schemas.openxmlformats.org/spreadsheetml/2006/main" count="236" uniqueCount="36">
  <si>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</si>
  <si>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</si>
  <si>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</si>
  <si>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</si>
  <si>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</si>
  <si>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</si>
  <si>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</si>
  <si>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</si>
  <si>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</si>
  <si>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</si>
  <si>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</si>
  <si>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민평3사 수익률(산출일)</t>
  </si>
  <si>
    <t>민평3사 가격(산출일)</t>
  </si>
  <si>
    <t>민평3사 듀레이션(산출일)</t>
  </si>
  <si>
    <t>민평3사 수익률(산출일) 당일</t>
  </si>
  <si>
    <t>민평3사 가격(산출일) 당일</t>
  </si>
  <si>
    <t>민평3사 듀레이션(산출일) 당일</t>
  </si>
  <si>
    <t>장외-시 수익률</t>
  </si>
  <si>
    <t>장외-고 수익률</t>
  </si>
  <si>
    <t>장외-저 수익률</t>
  </si>
  <si>
    <t>장외-현재수익률</t>
  </si>
  <si>
    <t>전체 순매수 거래량</t>
  </si>
  <si>
    <t>외국인 순매수 거래량</t>
  </si>
  <si>
    <t>은행 순매수 거래량</t>
  </si>
  <si>
    <t>보험기금 순매수 거래량</t>
  </si>
  <si>
    <t>자산운용(공모) 순매수 거래량</t>
  </si>
  <si>
    <t>자산운용(사모) 순매수 거래량</t>
  </si>
  <si>
    <t>종금 순매수 거래량</t>
  </si>
  <si>
    <t>선물 순매수 거래량</t>
  </si>
  <si>
    <t>외국인 잔고수량</t>
  </si>
  <si>
    <t>은행 잔고수량</t>
  </si>
  <si>
    <t>보험기금 잔고수량</t>
  </si>
  <si>
    <t>자산운용(공모) 잔고수량</t>
  </si>
  <si>
    <t>자산운용(사모) 잔고수량</t>
  </si>
  <si>
    <t>종금 잔고수량</t>
  </si>
  <si>
    <t>선물 잔고수량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</si>
</sst>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49" fontId="0" fillId="9" borderId="0" xfId="0" applyNumberFormat="1" applyFill="1">
      <alignment vertical="center"/>
    </xf>
    <xf numFmtId="49" fontId="0" fillId="10" borderId="0" xfId="0" applyNumberFormat="1" applyFill="1">
      <alignment vertical="center"/>
    </xf>
    <xf numFmtId="49" fontId="0" fillId="11" borderId="0" xfId="0" applyNumberFormat="1" applyFill="1">
      <alignment vertical="center"/>
    </xf>
    <xf numFmtId="49" fontId="0" fillId="12" borderId="0" xfId="0" applyNumberForma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x8.VCJK</stp>
        <stp>9</stp>
        <stp>5054024</stp>
        <tr r="FU2" s="1"/>
      </tp>
      <tp>
        <v>0</v>
        <stp/>
        <stp>H</stp>
        <stp>x7.VCJK</stp>
        <stp>8</stp>
        <stp>5054024</stp>
        <tr r="EV2" s="1"/>
      </tp>
      <tp>
        <v>0</v>
        <stp/>
        <stp>H</stp>
        <stp>x2.VCJK</stp>
        <stp>3</stp>
        <stp>5054024</stp>
        <tr r="AA2" s="1"/>
      </tp>
      <tp>
        <v>0</v>
        <stp/>
        <stp>H</stp>
        <stp>x1.VCJK</stp>
        <stp>2</stp>
        <stp>5054024</stp>
        <tr r="A2" s="1"/>
      </tp>
      <tp>
        <v>0</v>
        <stp/>
        <stp>H</stp>
        <stp>x4.VCJK</stp>
        <stp>5</stp>
        <stp>5054024</stp>
        <tr r="BY2" s="1"/>
      </tp>
      <tp>
        <v>0</v>
        <stp/>
        <stp>H</stp>
        <stp>x3.VCJK</stp>
        <stp>4</stp>
        <stp>5054024</stp>
        <tr r="AZ2" s="1"/>
      </tp>
      <tp>
        <v>0</v>
        <stp/>
        <stp>H</stp>
        <stp>x6.VCJK</stp>
        <stp>7</stp>
        <stp>5054024</stp>
        <tr r="DW2" s="1"/>
      </tp>
      <tp>
        <v>0</v>
        <stp/>
        <stp>H</stp>
        <stp>x5.VCJK</stp>
        <stp>6</stp>
        <stp>5054024</stp>
        <tr r="CX2" s="1"/>
      </tp>
      <tp>
        <v>0</v>
        <stp/>
        <stp>H</stp>
        <stp>x9.VCJK</stp>
        <stp>10</stp>
        <stp>5054024</stp>
        <tr r="GT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9C5B-C387-4ECC-B427-F534F213FDEC}">
  <dimension ref="A1:HR103"/>
  <sheetViews>
    <sheetView tabSelected="1" workbookViewId="0">
      <selection activeCell="G3" sqref="G3"/>
    </sheetView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226" x14ac:dyDescent="0.3">
      <c r="A1" s="1" t="s">
        <v>0</v>
      </c>
      <c r="B1" s="2">
        <v>46044</v>
      </c>
      <c r="C1" s="1" t="s">
        <v>1</v>
      </c>
      <c r="D1" s="2">
        <f ca="1">TODAY()</f>
        <v>46063</v>
      </c>
      <c r="E1" s="1" t="s">
        <v>2</v>
      </c>
      <c r="F1">
        <v>100</v>
      </c>
      <c r="G1" s="1" t="s">
        <v>3</v>
      </c>
      <c r="H1" t="s">
        <v>4</v>
      </c>
      <c r="I1" s="1" t="s">
        <v>5</v>
      </c>
      <c r="J1" t="s">
        <v>6</v>
      </c>
      <c r="K1" s="1" t="s">
        <v>7</v>
      </c>
      <c r="L1">
        <v>2</v>
      </c>
      <c r="M1" s="1" t="s">
        <v>8</v>
      </c>
      <c r="N1" t="s">
        <v>9</v>
      </c>
    </row>
    <row r="2" spans="1:226" x14ac:dyDescent="0.3">
      <c r="A2" t="str">
        <f ca="1">_xll.IMDH("BND","KR1035G00002",A3:Z3,$B$1,$D$1,$F$1,"Per="&amp;$H$1&amp;",sort="&amp;$J$1&amp;",real=false,Bizday="&amp;$L$1&amp;",Quote="&amp;$N$1&amp;",Pos=20,Orient=V,Title=국고 2Y,DtFmt=1,TmFmt=1,unit=true")</f>
        <v>국고 2Y</v>
      </c>
      <c r="AA2" t="str">
        <f ca="1">_xll.IMDH("BND","KR1035G00003",AA3:AY3,$B$1,$D$1,$F$1,"Per="&amp;$H$1&amp;",sort="&amp;$J$1&amp;",real=false,Bizday="&amp;$L$1&amp;",Quote="&amp;$N$1&amp;",Pos=20,Orient=V,Title=국고 3Y,DtFmt=1,TmFmt=1,unit=true")</f>
        <v>국고 3Y</v>
      </c>
      <c r="AZ2" t="str">
        <f ca="1">_xll.IMDH("BND","KR1035G00005",AZ3:BX3,$B$1,$D$1,$F$1,"Per="&amp;$H$1&amp;",sort="&amp;$J$1&amp;",real=false,Bizday="&amp;$L$1&amp;",Quote="&amp;$N$1&amp;",Pos=20,Orient=V,Title=국고 5Y,DtFmt=1,TmFmt=1,unit=true")</f>
        <v>국고 5Y</v>
      </c>
      <c r="BY2" t="str">
        <f ca="1">_xll.IMDH("BND","KR1035G00010",BY3:CW3,$B$1,$D$1,$F$1,"Per="&amp;$H$1&amp;",sort="&amp;$J$1&amp;",real=false,Bizday="&amp;$L$1&amp;",Quote="&amp;$N$1&amp;",Pos=20,Orient=V,Title=국고 10Y,DtFmt=1,TmFmt=1,unit=true")</f>
        <v>국고 10Y</v>
      </c>
      <c r="CX2" t="str">
        <f ca="1">_xll.IMDH("BND","KR1035G00020",CX3:DV3,$B$1,$D$1,$F$1,"Per="&amp;$H$1&amp;",sort="&amp;$J$1&amp;",real=false,Bizday="&amp;$L$1&amp;",Quote="&amp;$N$1&amp;",Pos=20,Orient=V,Title=국고 20Y,DtFmt=1,TmFmt=1,unit=true")</f>
        <v>국고 20Y</v>
      </c>
      <c r="DW2" t="str">
        <f ca="1">_xll.IMDH("BND","KR1035G00030",DW3:EU3,$B$1,$D$1,$F$1,"Per="&amp;$H$1&amp;",sort="&amp;$J$1&amp;",real=false,Bizday="&amp;$L$1&amp;",Quote="&amp;$N$1&amp;",Pos=20,Orient=V,Title=국고 30Y,DtFmt=1,TmFmt=1,unit=true")</f>
        <v>국고 30Y</v>
      </c>
      <c r="EV2" t="str">
        <f ca="1">_xll.IMDH("BND","KR1035G00050",EV3:FT3,$B$1,$D$1,$F$1,"Per="&amp;$H$1&amp;",sort="&amp;$J$1&amp;",real=false,Bizday="&amp;$L$1&amp;",Quote="&amp;$N$1&amp;",Pos=20,Orient=V,Title=국고 50Y,DtFmt=1,TmFmt=1,unit=true")</f>
        <v>국고 50Y</v>
      </c>
      <c r="FU2" t="str">
        <f ca="1">_xll.IMDH("BND","KR3101000100",FU3:GS3,$B$1,$D$1,$F$1,"Per="&amp;$H$1&amp;",sort="&amp;$J$1&amp;",real=false,Bizday="&amp;$L$1&amp;",Quote="&amp;$N$1&amp;",Pos=20,Orient=V,Title=통안 2Y,DtFmt=1,TmFmt=1,unit=true")</f>
        <v>통안 2Y</v>
      </c>
      <c r="GT2" t="str">
        <f ca="1">_xll.IMDH("BND","KR3101000101",GT3:HR3,$B$1,$D$1,$F$1,"Per="&amp;$H$1&amp;",sort="&amp;$J$1&amp;",real=false,Bizday="&amp;$L$1&amp;",Quote="&amp;$N$1&amp;",Pos=20,Orient=V,Title=통안 3Y,DtFmt=1,TmFmt=1,unit=true")</f>
        <v>통안 3Y</v>
      </c>
    </row>
    <row r="3" spans="1:226" x14ac:dyDescent="0.3">
      <c r="A3" s="3" t="s">
        <v>10</v>
      </c>
      <c r="B3" s="4" t="s">
        <v>11</v>
      </c>
      <c r="C3" s="4" t="s">
        <v>12</v>
      </c>
      <c r="D3" s="4" t="s">
        <v>13</v>
      </c>
      <c r="E3" s="4" t="s">
        <v>14</v>
      </c>
      <c r="F3" s="4" t="s">
        <v>15</v>
      </c>
      <c r="G3" s="4" t="s">
        <v>16</v>
      </c>
      <c r="H3" s="4" t="s">
        <v>17</v>
      </c>
      <c r="I3" s="4" t="s">
        <v>18</v>
      </c>
      <c r="J3" s="4" t="s">
        <v>19</v>
      </c>
      <c r="K3" s="4" t="s">
        <v>20</v>
      </c>
      <c r="L3" s="4" t="s">
        <v>21</v>
      </c>
      <c r="M3" s="4" t="s">
        <v>22</v>
      </c>
      <c r="N3" s="4" t="s">
        <v>23</v>
      </c>
      <c r="O3" s="4" t="s">
        <v>24</v>
      </c>
      <c r="P3" s="4" t="s">
        <v>25</v>
      </c>
      <c r="Q3" s="4" t="s">
        <v>26</v>
      </c>
      <c r="R3" s="4" t="s">
        <v>27</v>
      </c>
      <c r="S3" s="4" t="s">
        <v>28</v>
      </c>
      <c r="T3" s="4" t="s">
        <v>29</v>
      </c>
      <c r="U3" s="4" t="s">
        <v>30</v>
      </c>
      <c r="V3" s="4" t="s">
        <v>31</v>
      </c>
      <c r="W3" s="4" t="s">
        <v>32</v>
      </c>
      <c r="X3" s="4" t="s">
        <v>33</v>
      </c>
      <c r="Y3" s="4" t="s">
        <v>34</v>
      </c>
      <c r="Z3" s="4" t="s">
        <v>35</v>
      </c>
      <c r="AA3" s="5" t="s">
        <v>11</v>
      </c>
      <c r="AB3" s="5" t="s">
        <v>12</v>
      </c>
      <c r="AC3" s="5" t="s">
        <v>13</v>
      </c>
      <c r="AD3" s="5" t="s">
        <v>14</v>
      </c>
      <c r="AE3" s="5" t="s">
        <v>15</v>
      </c>
      <c r="AF3" s="5" t="s">
        <v>16</v>
      </c>
      <c r="AG3" s="5" t="s">
        <v>17</v>
      </c>
      <c r="AH3" s="5" t="s">
        <v>18</v>
      </c>
      <c r="AI3" s="5" t="s">
        <v>19</v>
      </c>
      <c r="AJ3" s="5" t="s">
        <v>20</v>
      </c>
      <c r="AK3" s="5" t="s">
        <v>21</v>
      </c>
      <c r="AL3" s="5" t="s">
        <v>22</v>
      </c>
      <c r="AM3" s="5" t="s">
        <v>23</v>
      </c>
      <c r="AN3" s="5" t="s">
        <v>24</v>
      </c>
      <c r="AO3" s="5" t="s">
        <v>25</v>
      </c>
      <c r="AP3" s="5" t="s">
        <v>26</v>
      </c>
      <c r="AQ3" s="5" t="s">
        <v>27</v>
      </c>
      <c r="AR3" s="5" t="s">
        <v>28</v>
      </c>
      <c r="AS3" s="5" t="s">
        <v>29</v>
      </c>
      <c r="AT3" s="5" t="s">
        <v>30</v>
      </c>
      <c r="AU3" s="5" t="s">
        <v>31</v>
      </c>
      <c r="AV3" s="5" t="s">
        <v>32</v>
      </c>
      <c r="AW3" s="5" t="s">
        <v>33</v>
      </c>
      <c r="AX3" s="5" t="s">
        <v>34</v>
      </c>
      <c r="AY3" s="5" t="s">
        <v>35</v>
      </c>
      <c r="AZ3" s="6" t="s">
        <v>11</v>
      </c>
      <c r="BA3" s="6" t="s">
        <v>12</v>
      </c>
      <c r="BB3" s="6" t="s">
        <v>13</v>
      </c>
      <c r="BC3" s="6" t="s">
        <v>14</v>
      </c>
      <c r="BD3" s="6" t="s">
        <v>15</v>
      </c>
      <c r="BE3" s="6" t="s">
        <v>16</v>
      </c>
      <c r="BF3" s="6" t="s">
        <v>17</v>
      </c>
      <c r="BG3" s="6" t="s">
        <v>18</v>
      </c>
      <c r="BH3" s="6" t="s">
        <v>19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25</v>
      </c>
      <c r="BO3" s="6" t="s">
        <v>26</v>
      </c>
      <c r="BP3" s="6" t="s">
        <v>27</v>
      </c>
      <c r="BQ3" s="6" t="s">
        <v>28</v>
      </c>
      <c r="BR3" s="6" t="s">
        <v>29</v>
      </c>
      <c r="BS3" s="6" t="s">
        <v>30</v>
      </c>
      <c r="BT3" s="6" t="s">
        <v>31</v>
      </c>
      <c r="BU3" s="6" t="s">
        <v>32</v>
      </c>
      <c r="BV3" s="6" t="s">
        <v>33</v>
      </c>
      <c r="BW3" s="6" t="s">
        <v>34</v>
      </c>
      <c r="BX3" s="6" t="s">
        <v>35</v>
      </c>
      <c r="BY3" s="7" t="s">
        <v>11</v>
      </c>
      <c r="BZ3" s="7" t="s">
        <v>12</v>
      </c>
      <c r="CA3" s="7" t="s">
        <v>13</v>
      </c>
      <c r="CB3" s="7" t="s">
        <v>14</v>
      </c>
      <c r="CC3" s="7" t="s">
        <v>15</v>
      </c>
      <c r="CD3" s="7" t="s">
        <v>16</v>
      </c>
      <c r="CE3" s="7" t="s">
        <v>17</v>
      </c>
      <c r="CF3" s="7" t="s">
        <v>18</v>
      </c>
      <c r="CG3" s="7" t="s">
        <v>19</v>
      </c>
      <c r="CH3" s="7" t="s">
        <v>20</v>
      </c>
      <c r="CI3" s="7" t="s">
        <v>21</v>
      </c>
      <c r="CJ3" s="7" t="s">
        <v>22</v>
      </c>
      <c r="CK3" s="7" t="s">
        <v>23</v>
      </c>
      <c r="CL3" s="7" t="s">
        <v>24</v>
      </c>
      <c r="CM3" s="7" t="s">
        <v>25</v>
      </c>
      <c r="CN3" s="7" t="s">
        <v>26</v>
      </c>
      <c r="CO3" s="7" t="s">
        <v>27</v>
      </c>
      <c r="CP3" s="7" t="s">
        <v>28</v>
      </c>
      <c r="CQ3" s="7" t="s">
        <v>29</v>
      </c>
      <c r="CR3" s="7" t="s">
        <v>30</v>
      </c>
      <c r="CS3" s="7" t="s">
        <v>31</v>
      </c>
      <c r="CT3" s="7" t="s">
        <v>32</v>
      </c>
      <c r="CU3" s="7" t="s">
        <v>33</v>
      </c>
      <c r="CV3" s="7" t="s">
        <v>34</v>
      </c>
      <c r="CW3" s="7" t="s">
        <v>35</v>
      </c>
      <c r="CX3" s="8" t="s">
        <v>11</v>
      </c>
      <c r="CY3" s="8" t="s">
        <v>12</v>
      </c>
      <c r="CZ3" s="8" t="s">
        <v>13</v>
      </c>
      <c r="DA3" s="8" t="s">
        <v>14</v>
      </c>
      <c r="DB3" s="8" t="s">
        <v>15</v>
      </c>
      <c r="DC3" s="8" t="s">
        <v>16</v>
      </c>
      <c r="DD3" s="8" t="s">
        <v>17</v>
      </c>
      <c r="DE3" s="8" t="s">
        <v>18</v>
      </c>
      <c r="DF3" s="8" t="s">
        <v>19</v>
      </c>
      <c r="DG3" s="8" t="s">
        <v>20</v>
      </c>
      <c r="DH3" s="8" t="s">
        <v>21</v>
      </c>
      <c r="DI3" s="8" t="s">
        <v>22</v>
      </c>
      <c r="DJ3" s="8" t="s">
        <v>23</v>
      </c>
      <c r="DK3" s="8" t="s">
        <v>24</v>
      </c>
      <c r="DL3" s="8" t="s">
        <v>25</v>
      </c>
      <c r="DM3" s="8" t="s">
        <v>26</v>
      </c>
      <c r="DN3" s="8" t="s">
        <v>27</v>
      </c>
      <c r="DO3" s="8" t="s">
        <v>28</v>
      </c>
      <c r="DP3" s="8" t="s">
        <v>29</v>
      </c>
      <c r="DQ3" s="8" t="s">
        <v>30</v>
      </c>
      <c r="DR3" s="8" t="s">
        <v>31</v>
      </c>
      <c r="DS3" s="8" t="s">
        <v>32</v>
      </c>
      <c r="DT3" s="8" t="s">
        <v>33</v>
      </c>
      <c r="DU3" s="8" t="s">
        <v>34</v>
      </c>
      <c r="DV3" s="8" t="s">
        <v>35</v>
      </c>
      <c r="DW3" s="9" t="s">
        <v>11</v>
      </c>
      <c r="DX3" s="9" t="s">
        <v>12</v>
      </c>
      <c r="DY3" s="9" t="s">
        <v>13</v>
      </c>
      <c r="DZ3" s="9" t="s">
        <v>14</v>
      </c>
      <c r="EA3" s="9" t="s">
        <v>15</v>
      </c>
      <c r="EB3" s="9" t="s">
        <v>16</v>
      </c>
      <c r="EC3" s="9" t="s">
        <v>17</v>
      </c>
      <c r="ED3" s="9" t="s">
        <v>18</v>
      </c>
      <c r="EE3" s="9" t="s">
        <v>19</v>
      </c>
      <c r="EF3" s="9" t="s">
        <v>20</v>
      </c>
      <c r="EG3" s="9" t="s">
        <v>21</v>
      </c>
      <c r="EH3" s="9" t="s">
        <v>22</v>
      </c>
      <c r="EI3" s="9" t="s">
        <v>23</v>
      </c>
      <c r="EJ3" s="9" t="s">
        <v>24</v>
      </c>
      <c r="EK3" s="9" t="s">
        <v>25</v>
      </c>
      <c r="EL3" s="9" t="s">
        <v>26</v>
      </c>
      <c r="EM3" s="9" t="s">
        <v>27</v>
      </c>
      <c r="EN3" s="9" t="s">
        <v>28</v>
      </c>
      <c r="EO3" s="9" t="s">
        <v>29</v>
      </c>
      <c r="EP3" s="9" t="s">
        <v>30</v>
      </c>
      <c r="EQ3" s="9" t="s">
        <v>31</v>
      </c>
      <c r="ER3" s="9" t="s">
        <v>32</v>
      </c>
      <c r="ES3" s="9" t="s">
        <v>33</v>
      </c>
      <c r="ET3" s="9" t="s">
        <v>34</v>
      </c>
      <c r="EU3" s="9" t="s">
        <v>35</v>
      </c>
      <c r="EV3" s="10" t="s">
        <v>11</v>
      </c>
      <c r="EW3" s="10" t="s">
        <v>12</v>
      </c>
      <c r="EX3" s="10" t="s">
        <v>13</v>
      </c>
      <c r="EY3" s="10" t="s">
        <v>14</v>
      </c>
      <c r="EZ3" s="10" t="s">
        <v>15</v>
      </c>
      <c r="FA3" s="10" t="s">
        <v>16</v>
      </c>
      <c r="FB3" s="10" t="s">
        <v>17</v>
      </c>
      <c r="FC3" s="10" t="s">
        <v>18</v>
      </c>
      <c r="FD3" s="10" t="s">
        <v>19</v>
      </c>
      <c r="FE3" s="10" t="s">
        <v>20</v>
      </c>
      <c r="FF3" s="10" t="s">
        <v>21</v>
      </c>
      <c r="FG3" s="10" t="s">
        <v>22</v>
      </c>
      <c r="FH3" s="10" t="s">
        <v>23</v>
      </c>
      <c r="FI3" s="10" t="s">
        <v>24</v>
      </c>
      <c r="FJ3" s="10" t="s">
        <v>25</v>
      </c>
      <c r="FK3" s="10" t="s">
        <v>26</v>
      </c>
      <c r="FL3" s="10" t="s">
        <v>27</v>
      </c>
      <c r="FM3" s="10" t="s">
        <v>28</v>
      </c>
      <c r="FN3" s="10" t="s">
        <v>29</v>
      </c>
      <c r="FO3" s="10" t="s">
        <v>30</v>
      </c>
      <c r="FP3" s="10" t="s">
        <v>31</v>
      </c>
      <c r="FQ3" s="10" t="s">
        <v>32</v>
      </c>
      <c r="FR3" s="10" t="s">
        <v>33</v>
      </c>
      <c r="FS3" s="10" t="s">
        <v>34</v>
      </c>
      <c r="FT3" s="10" t="s">
        <v>35</v>
      </c>
      <c r="FU3" s="11" t="s">
        <v>11</v>
      </c>
      <c r="FV3" s="11" t="s">
        <v>12</v>
      </c>
      <c r="FW3" s="11" t="s">
        <v>13</v>
      </c>
      <c r="FX3" s="11" t="s">
        <v>14</v>
      </c>
      <c r="FY3" s="11" t="s">
        <v>15</v>
      </c>
      <c r="FZ3" s="11" t="s">
        <v>16</v>
      </c>
      <c r="GA3" s="11" t="s">
        <v>17</v>
      </c>
      <c r="GB3" s="11" t="s">
        <v>18</v>
      </c>
      <c r="GC3" s="11" t="s">
        <v>19</v>
      </c>
      <c r="GD3" s="11" t="s">
        <v>20</v>
      </c>
      <c r="GE3" s="11" t="s">
        <v>21</v>
      </c>
      <c r="GF3" s="11" t="s">
        <v>22</v>
      </c>
      <c r="GG3" s="11" t="s">
        <v>23</v>
      </c>
      <c r="GH3" s="11" t="s">
        <v>24</v>
      </c>
      <c r="GI3" s="11" t="s">
        <v>25</v>
      </c>
      <c r="GJ3" s="11" t="s">
        <v>26</v>
      </c>
      <c r="GK3" s="11" t="s">
        <v>27</v>
      </c>
      <c r="GL3" s="11" t="s">
        <v>28</v>
      </c>
      <c r="GM3" s="11" t="s">
        <v>29</v>
      </c>
      <c r="GN3" s="11" t="s">
        <v>30</v>
      </c>
      <c r="GO3" s="11" t="s">
        <v>31</v>
      </c>
      <c r="GP3" s="11" t="s">
        <v>32</v>
      </c>
      <c r="GQ3" s="11" t="s">
        <v>33</v>
      </c>
      <c r="GR3" s="11" t="s">
        <v>34</v>
      </c>
      <c r="GS3" s="11" t="s">
        <v>35</v>
      </c>
      <c r="GT3" s="12" t="s">
        <v>11</v>
      </c>
      <c r="GU3" s="12" t="s">
        <v>12</v>
      </c>
      <c r="GV3" s="12" t="s">
        <v>13</v>
      </c>
      <c r="GW3" s="12" t="s">
        <v>14</v>
      </c>
      <c r="GX3" s="12" t="s">
        <v>15</v>
      </c>
      <c r="GY3" s="12" t="s">
        <v>16</v>
      </c>
      <c r="GZ3" s="12" t="s">
        <v>17</v>
      </c>
      <c r="HA3" s="12" t="s">
        <v>18</v>
      </c>
      <c r="HB3" s="12" t="s">
        <v>19</v>
      </c>
      <c r="HC3" s="12" t="s">
        <v>20</v>
      </c>
      <c r="HD3" s="12" t="s">
        <v>21</v>
      </c>
      <c r="HE3" s="12" t="s">
        <v>22</v>
      </c>
      <c r="HF3" s="12" t="s">
        <v>23</v>
      </c>
      <c r="HG3" s="12" t="s">
        <v>24</v>
      </c>
      <c r="HH3" s="12" t="s">
        <v>25</v>
      </c>
      <c r="HI3" s="12" t="s">
        <v>26</v>
      </c>
      <c r="HJ3" s="12" t="s">
        <v>27</v>
      </c>
      <c r="HK3" s="12" t="s">
        <v>28</v>
      </c>
      <c r="HL3" s="12" t="s">
        <v>29</v>
      </c>
      <c r="HM3" s="12" t="s">
        <v>30</v>
      </c>
      <c r="HN3" s="12" t="s">
        <v>31</v>
      </c>
      <c r="HO3" s="12" t="s">
        <v>32</v>
      </c>
      <c r="HP3" s="12" t="s">
        <v>33</v>
      </c>
      <c r="HQ3" s="12" t="s">
        <v>34</v>
      </c>
      <c r="HR3" s="12" t="s">
        <v>35</v>
      </c>
    </row>
    <row r="4" spans="1:226" x14ac:dyDescent="0.3">
      <c r="A4" s="2">
        <v>46044</v>
      </c>
      <c r="B4">
        <v>2.89</v>
      </c>
      <c r="C4">
        <v>9981.64</v>
      </c>
      <c r="D4">
        <v>1.5755999999999999</v>
      </c>
      <c r="E4">
        <v>2.86</v>
      </c>
      <c r="F4">
        <v>9986.36</v>
      </c>
      <c r="G4">
        <v>1.5730999999999999</v>
      </c>
      <c r="H4">
        <v>2.8679999999999999</v>
      </c>
      <c r="I4">
        <v>2.8959999999999999</v>
      </c>
      <c r="J4">
        <v>2.86</v>
      </c>
      <c r="K4">
        <v>2.86</v>
      </c>
      <c r="L4">
        <v>2000000000</v>
      </c>
      <c r="M4">
        <v>-58500000000</v>
      </c>
      <c r="N4">
        <v>20000000000</v>
      </c>
      <c r="O4">
        <v>-4000000000</v>
      </c>
      <c r="P4">
        <v>6000000000</v>
      </c>
      <c r="T4">
        <v>785152781</v>
      </c>
      <c r="U4">
        <v>30330000</v>
      </c>
      <c r="V4">
        <v>54460000</v>
      </c>
      <c r="W4">
        <v>63940000</v>
      </c>
      <c r="X4">
        <v>200000</v>
      </c>
      <c r="AA4">
        <v>3.13</v>
      </c>
      <c r="AB4">
        <v>9928.1299999999992</v>
      </c>
      <c r="AC4">
        <v>2.7403</v>
      </c>
      <c r="AD4">
        <v>3.097</v>
      </c>
      <c r="AE4">
        <v>9937.11</v>
      </c>
      <c r="AF4">
        <v>2.7381000000000002</v>
      </c>
      <c r="AG4">
        <v>3.13</v>
      </c>
      <c r="AH4">
        <v>3.1423899999999998</v>
      </c>
      <c r="AI4">
        <v>3.08</v>
      </c>
      <c r="AJ4">
        <v>3.09</v>
      </c>
      <c r="AK4">
        <v>124967500000</v>
      </c>
      <c r="AL4">
        <v>950000000</v>
      </c>
      <c r="AM4">
        <v>80000000000</v>
      </c>
      <c r="AN4">
        <v>16000000000</v>
      </c>
      <c r="AO4">
        <v>40000000000</v>
      </c>
      <c r="AP4">
        <v>-500000000</v>
      </c>
      <c r="AS4">
        <v>10883372</v>
      </c>
      <c r="AT4">
        <v>104700000</v>
      </c>
      <c r="AU4">
        <v>73456000</v>
      </c>
      <c r="AV4">
        <v>101744000</v>
      </c>
      <c r="AW4">
        <v>1400000</v>
      </c>
      <c r="AX4">
        <v>3000000</v>
      </c>
      <c r="AY4">
        <v>500000</v>
      </c>
      <c r="AZ4">
        <v>3.427</v>
      </c>
      <c r="BA4">
        <v>9698.2999999999993</v>
      </c>
      <c r="BB4">
        <v>4.2830000000000004</v>
      </c>
      <c r="BC4">
        <v>3.387</v>
      </c>
      <c r="BD4">
        <v>9714.93</v>
      </c>
      <c r="BE4">
        <v>4.2813999999999997</v>
      </c>
      <c r="BF4">
        <v>3.43</v>
      </c>
      <c r="BG4">
        <v>3.4420000000000002</v>
      </c>
      <c r="BH4">
        <v>3.38</v>
      </c>
      <c r="BI4">
        <v>3.387</v>
      </c>
      <c r="BJ4">
        <v>116192930000</v>
      </c>
      <c r="BK4">
        <v>34192930000</v>
      </c>
      <c r="BL4">
        <v>30000000000</v>
      </c>
      <c r="BM4">
        <v>6000000000</v>
      </c>
      <c r="BN4">
        <v>47000000000</v>
      </c>
      <c r="BO4">
        <v>-3000000000</v>
      </c>
      <c r="BR4">
        <v>187188318</v>
      </c>
      <c r="BS4">
        <v>192310000</v>
      </c>
      <c r="BT4">
        <v>160621800</v>
      </c>
      <c r="BU4">
        <v>344848200</v>
      </c>
      <c r="BV4">
        <v>5000000</v>
      </c>
      <c r="BW4">
        <v>48700000</v>
      </c>
      <c r="BY4">
        <v>3.597</v>
      </c>
      <c r="BZ4">
        <v>9751.41</v>
      </c>
      <c r="CA4">
        <v>8.3268000000000004</v>
      </c>
      <c r="CB4">
        <v>3.55</v>
      </c>
      <c r="CC4">
        <v>9789.1</v>
      </c>
      <c r="CD4">
        <v>8.3292999999999999</v>
      </c>
      <c r="CE4">
        <v>3.581</v>
      </c>
      <c r="CF4">
        <v>3.6</v>
      </c>
      <c r="CG4">
        <v>3.5169999999999999</v>
      </c>
      <c r="CH4">
        <v>3.55</v>
      </c>
      <c r="CI4">
        <v>15018056000</v>
      </c>
      <c r="CJ4">
        <v>15000000</v>
      </c>
      <c r="CK4">
        <v>-10000000000</v>
      </c>
      <c r="CL4">
        <v>3000000000</v>
      </c>
      <c r="CM4">
        <v>2000000000</v>
      </c>
      <c r="CN4">
        <v>5000000000</v>
      </c>
      <c r="CO4">
        <v>5000000000</v>
      </c>
      <c r="CQ4">
        <v>80770356.700000003</v>
      </c>
      <c r="CR4">
        <v>78430000</v>
      </c>
      <c r="CS4">
        <v>86860000</v>
      </c>
      <c r="CT4">
        <v>24490000</v>
      </c>
      <c r="CU4">
        <v>3600000</v>
      </c>
      <c r="CV4">
        <v>6400000</v>
      </c>
      <c r="CX4">
        <v>3.5750000000000002</v>
      </c>
      <c r="CY4">
        <v>8944.65</v>
      </c>
      <c r="CZ4">
        <v>14.543799999999999</v>
      </c>
      <c r="DA4">
        <v>3.5339999999999998</v>
      </c>
      <c r="DB4">
        <v>8998.17</v>
      </c>
      <c r="DC4">
        <v>14.561400000000001</v>
      </c>
      <c r="DD4">
        <v>3.552</v>
      </c>
      <c r="DE4">
        <v>3.552</v>
      </c>
      <c r="DF4">
        <v>3.53</v>
      </c>
      <c r="DG4">
        <v>3.53</v>
      </c>
      <c r="DH4">
        <v>73620000</v>
      </c>
      <c r="DI4">
        <v>73620000</v>
      </c>
      <c r="DJ4">
        <v>10000000000</v>
      </c>
      <c r="DK4">
        <v>-3000000000</v>
      </c>
      <c r="DL4">
        <v>0</v>
      </c>
      <c r="DP4">
        <v>86635331</v>
      </c>
      <c r="DQ4">
        <v>25900000</v>
      </c>
      <c r="DR4">
        <v>42830000</v>
      </c>
      <c r="DS4">
        <v>20550000</v>
      </c>
      <c r="DT4">
        <v>-2100000</v>
      </c>
      <c r="DW4">
        <v>3.47</v>
      </c>
      <c r="DX4">
        <v>8540.23</v>
      </c>
      <c r="DY4">
        <v>19.3185</v>
      </c>
      <c r="DZ4">
        <v>3.42</v>
      </c>
      <c r="EA4">
        <v>8623.23</v>
      </c>
      <c r="EB4">
        <v>19.375599999999999</v>
      </c>
      <c r="EC4">
        <v>3.4039999999999999</v>
      </c>
      <c r="ED4">
        <v>3.548</v>
      </c>
      <c r="EE4">
        <v>3.32</v>
      </c>
      <c r="EF4">
        <v>3.4329999999999998</v>
      </c>
      <c r="EG4">
        <v>138701526000</v>
      </c>
      <c r="EH4">
        <v>-68942140000</v>
      </c>
      <c r="EI4">
        <v>6000000000</v>
      </c>
      <c r="EJ4">
        <v>112330000000</v>
      </c>
      <c r="EK4">
        <v>64700000000</v>
      </c>
      <c r="EM4">
        <v>-3000000000</v>
      </c>
      <c r="EO4">
        <v>853571954.10000002</v>
      </c>
      <c r="EP4">
        <v>210410000</v>
      </c>
      <c r="EQ4">
        <v>715028000</v>
      </c>
      <c r="ER4">
        <v>225265000</v>
      </c>
      <c r="ES4">
        <v>14650000</v>
      </c>
      <c r="ET4">
        <v>-1600000</v>
      </c>
      <c r="EV4">
        <v>3.35</v>
      </c>
      <c r="EW4">
        <v>8666.2999999999993</v>
      </c>
      <c r="EX4">
        <v>24.626899999999999</v>
      </c>
      <c r="EY4">
        <v>3.3</v>
      </c>
      <c r="EZ4">
        <v>8773.98</v>
      </c>
      <c r="FA4">
        <v>24.776299999999999</v>
      </c>
      <c r="FB4">
        <v>3.2850000000000001</v>
      </c>
      <c r="FC4">
        <v>3.32</v>
      </c>
      <c r="FD4">
        <v>3.2850000000000001</v>
      </c>
      <c r="FE4">
        <v>3.32</v>
      </c>
      <c r="FF4">
        <v>21920000</v>
      </c>
      <c r="FG4">
        <v>21920000</v>
      </c>
      <c r="FH4">
        <v>0</v>
      </c>
      <c r="FI4">
        <v>146000000000</v>
      </c>
      <c r="FJ4">
        <v>1000000000</v>
      </c>
      <c r="FN4">
        <v>178263294</v>
      </c>
      <c r="FO4">
        <v>-38750000</v>
      </c>
      <c r="FP4">
        <v>243700000</v>
      </c>
      <c r="FQ4">
        <v>-6600000</v>
      </c>
      <c r="FS4">
        <v>-14800000</v>
      </c>
      <c r="FU4">
        <v>2.9470000000000001</v>
      </c>
      <c r="FV4">
        <v>9995.5300000000007</v>
      </c>
      <c r="FW4">
        <v>1.883</v>
      </c>
      <c r="FX4">
        <v>2.9249999999999998</v>
      </c>
      <c r="FY4">
        <v>9999.5400000000009</v>
      </c>
      <c r="FZ4">
        <v>1.8803000000000001</v>
      </c>
      <c r="GA4">
        <v>2.9449999999999998</v>
      </c>
      <c r="GB4">
        <v>2.96</v>
      </c>
      <c r="GC4">
        <v>2.9249999999999998</v>
      </c>
      <c r="GD4">
        <v>2.9249999999999998</v>
      </c>
      <c r="GE4">
        <v>110000000000</v>
      </c>
      <c r="GG4">
        <v>50000000000</v>
      </c>
      <c r="GH4">
        <v>30000000000</v>
      </c>
      <c r="GI4">
        <v>10000000000</v>
      </c>
      <c r="GN4">
        <v>52000000</v>
      </c>
      <c r="GO4">
        <v>24000000</v>
      </c>
      <c r="GP4">
        <v>6000000</v>
      </c>
      <c r="GT4">
        <v>3.1749999999999998</v>
      </c>
      <c r="GU4">
        <v>9855.5400000000009</v>
      </c>
      <c r="GV4">
        <v>2.5103</v>
      </c>
      <c r="GW4">
        <v>3.14</v>
      </c>
      <c r="GX4">
        <v>9864.02</v>
      </c>
      <c r="GY4">
        <v>2.5078</v>
      </c>
      <c r="GZ4">
        <v>3.1349999999999998</v>
      </c>
      <c r="HA4">
        <v>3.18</v>
      </c>
      <c r="HB4">
        <v>3.1349999999999998</v>
      </c>
      <c r="HC4">
        <v>3.1419999999999999</v>
      </c>
      <c r="HD4">
        <v>110000000000</v>
      </c>
      <c r="HF4">
        <v>70000000000</v>
      </c>
      <c r="HG4">
        <v>20000000000</v>
      </c>
      <c r="HH4">
        <v>3500000000</v>
      </c>
      <c r="HL4">
        <v>1000000</v>
      </c>
      <c r="HM4">
        <v>368000000</v>
      </c>
      <c r="HN4">
        <v>67300000</v>
      </c>
      <c r="HO4">
        <v>-1750000</v>
      </c>
      <c r="HQ4">
        <v>20000000</v>
      </c>
    </row>
    <row r="5" spans="1:226" x14ac:dyDescent="0.3">
      <c r="A5" s="2">
        <v>46045</v>
      </c>
      <c r="B5">
        <v>2.86</v>
      </c>
      <c r="C5">
        <v>9987.14</v>
      </c>
      <c r="D5">
        <v>1.5730999999999999</v>
      </c>
      <c r="E5">
        <v>2.89</v>
      </c>
      <c r="F5">
        <v>9982.5400000000009</v>
      </c>
      <c r="G5">
        <v>1.5701000000000001</v>
      </c>
      <c r="H5">
        <v>2.8109999999999999</v>
      </c>
      <c r="I5">
        <v>2.9209999999999998</v>
      </c>
      <c r="J5">
        <v>2.8109999999999999</v>
      </c>
      <c r="K5">
        <v>2.8997700000000002</v>
      </c>
      <c r="L5">
        <v>-2197500000</v>
      </c>
      <c r="M5">
        <v>-1200000000</v>
      </c>
      <c r="N5">
        <v>20000000000</v>
      </c>
      <c r="O5">
        <v>-4000000000</v>
      </c>
      <c r="P5">
        <v>-1000000000</v>
      </c>
      <c r="T5">
        <v>785032781</v>
      </c>
      <c r="U5">
        <v>30330000</v>
      </c>
      <c r="V5">
        <v>54460000</v>
      </c>
      <c r="W5">
        <v>63840000</v>
      </c>
      <c r="X5">
        <v>200000</v>
      </c>
      <c r="AA5">
        <v>3.097</v>
      </c>
      <c r="AB5">
        <v>9937.9500000000007</v>
      </c>
      <c r="AC5">
        <v>2.7381000000000002</v>
      </c>
      <c r="AD5">
        <v>3.13</v>
      </c>
      <c r="AE5">
        <v>9928.98</v>
      </c>
      <c r="AF5">
        <v>2.7347999999999999</v>
      </c>
      <c r="AG5">
        <v>3.097</v>
      </c>
      <c r="AH5">
        <v>3.1520000000000001</v>
      </c>
      <c r="AI5">
        <v>3.097</v>
      </c>
      <c r="AJ5">
        <v>3.1349999999999998</v>
      </c>
      <c r="AK5">
        <v>153000000000</v>
      </c>
      <c r="AL5">
        <v>950000000</v>
      </c>
      <c r="AM5">
        <v>80000000000</v>
      </c>
      <c r="AN5">
        <v>19000000000</v>
      </c>
      <c r="AO5">
        <v>36000000000</v>
      </c>
      <c r="AP5">
        <v>-500000000</v>
      </c>
      <c r="AS5">
        <v>10883372</v>
      </c>
      <c r="AT5">
        <v>112700000</v>
      </c>
      <c r="AU5">
        <v>75356000</v>
      </c>
      <c r="AV5">
        <v>105344000</v>
      </c>
      <c r="AW5">
        <v>1400000</v>
      </c>
      <c r="AX5">
        <v>3000000</v>
      </c>
      <c r="AY5">
        <v>500000</v>
      </c>
      <c r="AZ5">
        <v>3.387</v>
      </c>
      <c r="BA5">
        <v>9715.83</v>
      </c>
      <c r="BB5">
        <v>4.2813999999999997</v>
      </c>
      <c r="BC5">
        <v>3.4119999999999999</v>
      </c>
      <c r="BD5">
        <v>9705.44</v>
      </c>
      <c r="BE5">
        <v>4.2779999999999996</v>
      </c>
      <c r="BF5">
        <v>3.3919999999999999</v>
      </c>
      <c r="BG5">
        <v>3.4380000000000002</v>
      </c>
      <c r="BH5">
        <v>3.3849999999999998</v>
      </c>
      <c r="BI5">
        <v>3.415</v>
      </c>
      <c r="BJ5">
        <v>242000000000</v>
      </c>
      <c r="BK5">
        <v>34192930000</v>
      </c>
      <c r="BL5">
        <v>48000000000</v>
      </c>
      <c r="BM5">
        <v>44000000000</v>
      </c>
      <c r="BN5">
        <v>136500000000</v>
      </c>
      <c r="BO5">
        <v>5000000000</v>
      </c>
      <c r="BR5">
        <v>187188318</v>
      </c>
      <c r="BS5">
        <v>197110000</v>
      </c>
      <c r="BT5">
        <v>165021800</v>
      </c>
      <c r="BU5">
        <v>358498200</v>
      </c>
      <c r="BV5">
        <v>5500000</v>
      </c>
      <c r="BW5">
        <v>48700000</v>
      </c>
      <c r="BY5">
        <v>3.55</v>
      </c>
      <c r="BZ5">
        <v>9790.0400000000009</v>
      </c>
      <c r="CA5">
        <v>8.3292999999999999</v>
      </c>
      <c r="CB5">
        <v>3.58</v>
      </c>
      <c r="CC5">
        <v>9765.6200000000008</v>
      </c>
      <c r="CD5">
        <v>8.3231999999999999</v>
      </c>
      <c r="CE5">
        <v>3.6</v>
      </c>
      <c r="CF5">
        <v>3.601</v>
      </c>
      <c r="CG5">
        <v>3.45</v>
      </c>
      <c r="CH5">
        <v>3.5819999999999999</v>
      </c>
      <c r="CI5">
        <v>66300000000</v>
      </c>
      <c r="CJ5">
        <v>15000000</v>
      </c>
      <c r="CK5">
        <v>1000000000</v>
      </c>
      <c r="CL5">
        <v>45850000000</v>
      </c>
      <c r="CM5">
        <v>15150000000</v>
      </c>
      <c r="CN5">
        <v>5000000000</v>
      </c>
      <c r="CO5">
        <v>5000000000</v>
      </c>
      <c r="CQ5">
        <v>80770356.700000003</v>
      </c>
      <c r="CR5">
        <v>78530000</v>
      </c>
      <c r="CS5">
        <v>91445000</v>
      </c>
      <c r="CT5">
        <v>26005000</v>
      </c>
      <c r="CU5">
        <v>3600000</v>
      </c>
      <c r="CV5">
        <v>6400000</v>
      </c>
      <c r="CX5">
        <v>3.5339999999999998</v>
      </c>
      <c r="CY5">
        <v>8999.0499999999993</v>
      </c>
      <c r="CZ5">
        <v>14.561400000000001</v>
      </c>
      <c r="DA5">
        <v>3.58</v>
      </c>
      <c r="DB5">
        <v>8939.0300000000007</v>
      </c>
      <c r="DC5">
        <v>14.536</v>
      </c>
      <c r="DD5">
        <v>3.6840000000000002</v>
      </c>
      <c r="DE5">
        <v>3.6840000000000002</v>
      </c>
      <c r="DF5">
        <v>3.58</v>
      </c>
      <c r="DG5">
        <v>3.58</v>
      </c>
      <c r="DH5">
        <v>965900000</v>
      </c>
      <c r="DI5">
        <v>73620000</v>
      </c>
      <c r="DJ5">
        <v>10000000000</v>
      </c>
      <c r="DK5">
        <v>1000000000</v>
      </c>
      <c r="DL5">
        <v>0</v>
      </c>
      <c r="DP5">
        <v>86635331</v>
      </c>
      <c r="DQ5">
        <v>25900000</v>
      </c>
      <c r="DR5">
        <v>42930000</v>
      </c>
      <c r="DS5">
        <v>20550000</v>
      </c>
      <c r="DT5">
        <v>-2100000</v>
      </c>
      <c r="DW5">
        <v>3.42</v>
      </c>
      <c r="DX5">
        <v>8624.0499999999993</v>
      </c>
      <c r="DY5">
        <v>19.375599999999999</v>
      </c>
      <c r="DZ5">
        <v>3.46</v>
      </c>
      <c r="EA5">
        <v>8557.56</v>
      </c>
      <c r="EB5">
        <v>19.324999999999999</v>
      </c>
      <c r="EC5">
        <v>3.4390000000000001</v>
      </c>
      <c r="ED5">
        <v>3.4820000000000002</v>
      </c>
      <c r="EE5">
        <v>3.31</v>
      </c>
      <c r="EF5">
        <v>3.4670000000000001</v>
      </c>
      <c r="EG5">
        <v>89511654000</v>
      </c>
      <c r="EH5">
        <v>-18500000000</v>
      </c>
      <c r="EI5">
        <v>10000000000</v>
      </c>
      <c r="EJ5">
        <v>23300000000</v>
      </c>
      <c r="EK5">
        <v>63700000000</v>
      </c>
      <c r="EM5">
        <v>-3000000000</v>
      </c>
      <c r="EO5">
        <v>851721954.10000002</v>
      </c>
      <c r="EP5">
        <v>211410000</v>
      </c>
      <c r="EQ5">
        <v>717358000</v>
      </c>
      <c r="ER5">
        <v>231635000</v>
      </c>
      <c r="ES5">
        <v>14650000</v>
      </c>
      <c r="ET5">
        <v>-1600000</v>
      </c>
      <c r="EV5">
        <v>3.3</v>
      </c>
      <c r="EW5">
        <v>8774.7800000000007</v>
      </c>
      <c r="EX5">
        <v>24.776299999999999</v>
      </c>
      <c r="EY5">
        <v>3.34</v>
      </c>
      <c r="EZ5">
        <v>8688.48</v>
      </c>
      <c r="FA5">
        <v>24.651900000000001</v>
      </c>
      <c r="FB5">
        <v>3.2930000000000001</v>
      </c>
      <c r="FC5">
        <v>3.33</v>
      </c>
      <c r="FD5">
        <v>3.2930000000000001</v>
      </c>
      <c r="FE5">
        <v>3.33</v>
      </c>
      <c r="FF5">
        <v>820000000</v>
      </c>
      <c r="FG5">
        <v>-180000000</v>
      </c>
      <c r="FH5">
        <v>1000000000</v>
      </c>
      <c r="FI5">
        <v>146000000000</v>
      </c>
      <c r="FJ5">
        <v>1000000000</v>
      </c>
      <c r="FN5">
        <v>178245294</v>
      </c>
      <c r="FO5">
        <v>-38650000</v>
      </c>
      <c r="FP5">
        <v>243700000</v>
      </c>
      <c r="FQ5">
        <v>-6600000</v>
      </c>
      <c r="FS5">
        <v>-14800000</v>
      </c>
      <c r="FU5">
        <v>2.9249999999999998</v>
      </c>
      <c r="FV5">
        <v>10000.35</v>
      </c>
      <c r="FW5">
        <v>1.8803000000000001</v>
      </c>
      <c r="FX5">
        <v>2.9529999999999998</v>
      </c>
      <c r="FY5">
        <v>9995.2199999999993</v>
      </c>
      <c r="FZ5">
        <v>1.8774</v>
      </c>
      <c r="GA5">
        <v>2.93</v>
      </c>
      <c r="GB5">
        <v>2.95</v>
      </c>
      <c r="GC5">
        <v>2.93</v>
      </c>
      <c r="GD5">
        <v>2.95</v>
      </c>
      <c r="GE5">
        <v>110000000000</v>
      </c>
      <c r="GG5">
        <v>50000000000</v>
      </c>
      <c r="GH5">
        <v>30000000000</v>
      </c>
      <c r="GI5">
        <v>10000000000</v>
      </c>
      <c r="GN5">
        <v>52000000</v>
      </c>
      <c r="GO5">
        <v>24000000</v>
      </c>
      <c r="GP5">
        <v>6000000</v>
      </c>
      <c r="GT5">
        <v>3.14</v>
      </c>
      <c r="GU5">
        <v>9864.8799999999992</v>
      </c>
      <c r="GV5">
        <v>2.5078</v>
      </c>
      <c r="GW5">
        <v>3.17</v>
      </c>
      <c r="GX5">
        <v>9857.4699999999993</v>
      </c>
      <c r="GY5">
        <v>2.5047999999999999</v>
      </c>
      <c r="GZ5">
        <v>3.1419999999999999</v>
      </c>
      <c r="HA5">
        <v>3.1949999999999998</v>
      </c>
      <c r="HB5">
        <v>3.1419999999999999</v>
      </c>
      <c r="HC5">
        <v>3.19</v>
      </c>
      <c r="HD5">
        <v>70000000000</v>
      </c>
      <c r="HF5">
        <v>-50000000000</v>
      </c>
      <c r="HG5">
        <v>120000000000</v>
      </c>
      <c r="HH5">
        <v>3500000000</v>
      </c>
      <c r="HL5">
        <v>1000000</v>
      </c>
      <c r="HM5">
        <v>363000000</v>
      </c>
      <c r="HN5">
        <v>79300000</v>
      </c>
      <c r="HO5">
        <v>-1750000</v>
      </c>
      <c r="HQ5">
        <v>20000000</v>
      </c>
    </row>
    <row r="6" spans="1:226" x14ac:dyDescent="0.3">
      <c r="A6" s="2">
        <v>46046</v>
      </c>
      <c r="B6">
        <v>2.89</v>
      </c>
      <c r="C6">
        <v>9983.34</v>
      </c>
      <c r="D6">
        <v>1.5701000000000001</v>
      </c>
      <c r="E6">
        <v>2.89</v>
      </c>
      <c r="F6">
        <v>9982.5400000000009</v>
      </c>
      <c r="G6">
        <v>1.5701000000000001</v>
      </c>
      <c r="H6">
        <v>2.8109999999999999</v>
      </c>
      <c r="I6">
        <v>2.9209999999999998</v>
      </c>
      <c r="J6">
        <v>2.8109999999999999</v>
      </c>
      <c r="K6">
        <v>2.8997700000000002</v>
      </c>
      <c r="L6">
        <v>-2197500000</v>
      </c>
      <c r="M6">
        <v>-1200000000</v>
      </c>
      <c r="N6">
        <v>20000000000</v>
      </c>
      <c r="O6">
        <v>-4000000000</v>
      </c>
      <c r="P6">
        <v>-1000000000</v>
      </c>
      <c r="T6">
        <v>785032781</v>
      </c>
      <c r="U6">
        <v>30330000</v>
      </c>
      <c r="V6">
        <v>54460000</v>
      </c>
      <c r="W6">
        <v>63840000</v>
      </c>
      <c r="X6">
        <v>200000</v>
      </c>
      <c r="AA6">
        <v>3.13</v>
      </c>
      <c r="AB6">
        <v>9929.82</v>
      </c>
      <c r="AC6">
        <v>2.7347999999999999</v>
      </c>
      <c r="AD6">
        <v>3.13</v>
      </c>
      <c r="AE6">
        <v>9928.98</v>
      </c>
      <c r="AF6">
        <v>2.7347999999999999</v>
      </c>
      <c r="AG6">
        <v>3.097</v>
      </c>
      <c r="AH6">
        <v>3.1520000000000001</v>
      </c>
      <c r="AI6">
        <v>3.097</v>
      </c>
      <c r="AJ6">
        <v>3.1349999999999998</v>
      </c>
      <c r="AK6">
        <v>153000000000</v>
      </c>
      <c r="AL6">
        <v>950000000</v>
      </c>
      <c r="AM6">
        <v>80000000000</v>
      </c>
      <c r="AN6">
        <v>19000000000</v>
      </c>
      <c r="AO6">
        <v>36000000000</v>
      </c>
      <c r="AP6">
        <v>-500000000</v>
      </c>
      <c r="AS6">
        <v>10883372</v>
      </c>
      <c r="AT6">
        <v>112700000</v>
      </c>
      <c r="AU6">
        <v>75356000</v>
      </c>
      <c r="AV6">
        <v>105344000</v>
      </c>
      <c r="AW6">
        <v>1400000</v>
      </c>
      <c r="AX6">
        <v>3000000</v>
      </c>
      <c r="AY6">
        <v>500000</v>
      </c>
      <c r="AZ6">
        <v>3.4119999999999999</v>
      </c>
      <c r="BA6">
        <v>9706.35</v>
      </c>
      <c r="BB6">
        <v>4.2779999999999996</v>
      </c>
      <c r="BC6">
        <v>3.4119999999999999</v>
      </c>
      <c r="BD6">
        <v>9705.44</v>
      </c>
      <c r="BE6">
        <v>4.2779999999999996</v>
      </c>
      <c r="BF6">
        <v>3.3919999999999999</v>
      </c>
      <c r="BG6">
        <v>3.4380000000000002</v>
      </c>
      <c r="BH6">
        <v>3.3849999999999998</v>
      </c>
      <c r="BI6">
        <v>3.415</v>
      </c>
      <c r="BJ6">
        <v>242000000000</v>
      </c>
      <c r="BK6">
        <v>34192930000</v>
      </c>
      <c r="BL6">
        <v>48000000000</v>
      </c>
      <c r="BM6">
        <v>44000000000</v>
      </c>
      <c r="BN6">
        <v>136500000000</v>
      </c>
      <c r="BO6">
        <v>5000000000</v>
      </c>
      <c r="BR6">
        <v>187188318</v>
      </c>
      <c r="BS6">
        <v>197110000</v>
      </c>
      <c r="BT6">
        <v>165021800</v>
      </c>
      <c r="BU6">
        <v>358498200</v>
      </c>
      <c r="BV6">
        <v>5500000</v>
      </c>
      <c r="BW6">
        <v>48700000</v>
      </c>
      <c r="BY6">
        <v>3.58</v>
      </c>
      <c r="BZ6">
        <v>9766.57</v>
      </c>
      <c r="CA6">
        <v>8.3231999999999999</v>
      </c>
      <c r="CB6">
        <v>3.58</v>
      </c>
      <c r="CC6">
        <v>9765.6200000000008</v>
      </c>
      <c r="CD6">
        <v>8.3231999999999999</v>
      </c>
      <c r="CE6">
        <v>3.6</v>
      </c>
      <c r="CF6">
        <v>3.601</v>
      </c>
      <c r="CG6">
        <v>3.45</v>
      </c>
      <c r="CH6">
        <v>3.5819999999999999</v>
      </c>
      <c r="CI6">
        <v>66300000000</v>
      </c>
      <c r="CJ6">
        <v>15000000</v>
      </c>
      <c r="CK6">
        <v>1000000000</v>
      </c>
      <c r="CL6">
        <v>45850000000</v>
      </c>
      <c r="CM6">
        <v>15150000000</v>
      </c>
      <c r="CN6">
        <v>5000000000</v>
      </c>
      <c r="CO6">
        <v>5000000000</v>
      </c>
      <c r="CQ6">
        <v>80770356.700000003</v>
      </c>
      <c r="CR6">
        <v>78530000</v>
      </c>
      <c r="CS6">
        <v>91445000</v>
      </c>
      <c r="CT6">
        <v>26005000</v>
      </c>
      <c r="CU6">
        <v>3600000</v>
      </c>
      <c r="CV6">
        <v>6400000</v>
      </c>
      <c r="CX6">
        <v>3.58</v>
      </c>
      <c r="CY6">
        <v>8939.91</v>
      </c>
      <c r="CZ6">
        <v>14.536</v>
      </c>
      <c r="DA6">
        <v>3.58</v>
      </c>
      <c r="DB6">
        <v>8939.0300000000007</v>
      </c>
      <c r="DC6">
        <v>14.536</v>
      </c>
      <c r="DD6">
        <v>3.6840000000000002</v>
      </c>
      <c r="DE6">
        <v>3.6840000000000002</v>
      </c>
      <c r="DF6">
        <v>3.58</v>
      </c>
      <c r="DG6">
        <v>3.58</v>
      </c>
      <c r="DH6">
        <v>965900000</v>
      </c>
      <c r="DI6">
        <v>73620000</v>
      </c>
      <c r="DJ6">
        <v>10000000000</v>
      </c>
      <c r="DK6">
        <v>1000000000</v>
      </c>
      <c r="DL6">
        <v>0</v>
      </c>
      <c r="DP6">
        <v>86635331</v>
      </c>
      <c r="DQ6">
        <v>25900000</v>
      </c>
      <c r="DR6">
        <v>42930000</v>
      </c>
      <c r="DS6">
        <v>20550000</v>
      </c>
      <c r="DT6">
        <v>-2100000</v>
      </c>
      <c r="DW6">
        <v>3.46</v>
      </c>
      <c r="DX6">
        <v>8558.3799999999992</v>
      </c>
      <c r="DY6">
        <v>19.324999999999999</v>
      </c>
      <c r="DZ6">
        <v>3.46</v>
      </c>
      <c r="EA6">
        <v>8557.56</v>
      </c>
      <c r="EB6">
        <v>19.324999999999999</v>
      </c>
      <c r="EC6">
        <v>3.4390000000000001</v>
      </c>
      <c r="ED6">
        <v>3.4820000000000002</v>
      </c>
      <c r="EE6">
        <v>3.31</v>
      </c>
      <c r="EF6">
        <v>3.4670000000000001</v>
      </c>
      <c r="EG6">
        <v>89511654000</v>
      </c>
      <c r="EH6">
        <v>-18500000000</v>
      </c>
      <c r="EI6">
        <v>10000000000</v>
      </c>
      <c r="EJ6">
        <v>23300000000</v>
      </c>
      <c r="EK6">
        <v>63700000000</v>
      </c>
      <c r="EM6">
        <v>-3000000000</v>
      </c>
      <c r="EO6">
        <v>851721954.10000002</v>
      </c>
      <c r="EP6">
        <v>211410000</v>
      </c>
      <c r="EQ6">
        <v>717358000</v>
      </c>
      <c r="ER6">
        <v>231635000</v>
      </c>
      <c r="ES6">
        <v>14650000</v>
      </c>
      <c r="ET6">
        <v>-1600000</v>
      </c>
      <c r="EV6">
        <v>3.34</v>
      </c>
      <c r="EW6">
        <v>8689.2800000000007</v>
      </c>
      <c r="EX6">
        <v>24.651900000000001</v>
      </c>
      <c r="EY6">
        <v>3.34</v>
      </c>
      <c r="EZ6">
        <v>8688.48</v>
      </c>
      <c r="FA6">
        <v>24.651900000000001</v>
      </c>
      <c r="FB6">
        <v>3.2930000000000001</v>
      </c>
      <c r="FC6">
        <v>3.33</v>
      </c>
      <c r="FD6">
        <v>3.2930000000000001</v>
      </c>
      <c r="FE6">
        <v>3.33</v>
      </c>
      <c r="FF6">
        <v>820000000</v>
      </c>
      <c r="FG6">
        <v>-180000000</v>
      </c>
      <c r="FH6">
        <v>1000000000</v>
      </c>
      <c r="FI6">
        <v>146000000000</v>
      </c>
      <c r="FJ6">
        <v>1000000000</v>
      </c>
      <c r="FN6">
        <v>178245294</v>
      </c>
      <c r="FO6">
        <v>-38650000</v>
      </c>
      <c r="FP6">
        <v>243700000</v>
      </c>
      <c r="FQ6">
        <v>-6600000</v>
      </c>
      <c r="FS6">
        <v>-14800000</v>
      </c>
      <c r="FU6">
        <v>2.9529999999999998</v>
      </c>
      <c r="FV6">
        <v>9996.0300000000007</v>
      </c>
      <c r="FW6">
        <v>1.8774</v>
      </c>
      <c r="FX6">
        <v>2.9529999999999998</v>
      </c>
      <c r="FY6">
        <v>9995.2199999999993</v>
      </c>
      <c r="FZ6">
        <v>1.8774</v>
      </c>
      <c r="GA6">
        <v>2.93</v>
      </c>
      <c r="GB6">
        <v>2.95</v>
      </c>
      <c r="GC6">
        <v>2.93</v>
      </c>
      <c r="GD6">
        <v>2.95</v>
      </c>
      <c r="GE6">
        <v>110000000000</v>
      </c>
      <c r="GG6">
        <v>50000000000</v>
      </c>
      <c r="GH6">
        <v>30000000000</v>
      </c>
      <c r="GI6">
        <v>10000000000</v>
      </c>
      <c r="GN6">
        <v>52000000</v>
      </c>
      <c r="GO6">
        <v>24000000</v>
      </c>
      <c r="GP6">
        <v>6000000</v>
      </c>
      <c r="GT6">
        <v>3.17</v>
      </c>
      <c r="GU6">
        <v>9858.34</v>
      </c>
      <c r="GV6">
        <v>2.5047999999999999</v>
      </c>
      <c r="GW6">
        <v>3.17</v>
      </c>
      <c r="GX6">
        <v>9857.4699999999993</v>
      </c>
      <c r="GY6">
        <v>2.5047999999999999</v>
      </c>
      <c r="GZ6">
        <v>3.1419999999999999</v>
      </c>
      <c r="HA6">
        <v>3.1949999999999998</v>
      </c>
      <c r="HB6">
        <v>3.1419999999999999</v>
      </c>
      <c r="HC6">
        <v>3.19</v>
      </c>
      <c r="HD6">
        <v>70000000000</v>
      </c>
      <c r="HF6">
        <v>-50000000000</v>
      </c>
      <c r="HG6">
        <v>120000000000</v>
      </c>
      <c r="HH6">
        <v>3500000000</v>
      </c>
      <c r="HL6">
        <v>1000000</v>
      </c>
      <c r="HM6">
        <v>363000000</v>
      </c>
      <c r="HN6">
        <v>79300000</v>
      </c>
      <c r="HO6">
        <v>-1750000</v>
      </c>
      <c r="HQ6">
        <v>20000000</v>
      </c>
    </row>
    <row r="7" spans="1:226" x14ac:dyDescent="0.3">
      <c r="A7" s="2">
        <v>46047</v>
      </c>
      <c r="B7">
        <v>2.89</v>
      </c>
      <c r="C7">
        <v>9984.1299999999992</v>
      </c>
      <c r="D7">
        <v>1.5683</v>
      </c>
      <c r="E7">
        <v>2.89</v>
      </c>
      <c r="F7">
        <v>9982.5400000000009</v>
      </c>
      <c r="G7">
        <v>1.5701000000000001</v>
      </c>
      <c r="H7">
        <v>2.8109999999999999</v>
      </c>
      <c r="I7">
        <v>2.9209999999999998</v>
      </c>
      <c r="J7">
        <v>2.8109999999999999</v>
      </c>
      <c r="K7">
        <v>2.8997700000000002</v>
      </c>
      <c r="L7">
        <v>-2197500000</v>
      </c>
      <c r="M7">
        <v>-1200000000</v>
      </c>
      <c r="N7">
        <v>20000000000</v>
      </c>
      <c r="O7">
        <v>-4000000000</v>
      </c>
      <c r="P7">
        <v>-1000000000</v>
      </c>
      <c r="T7">
        <v>785032781</v>
      </c>
      <c r="U7">
        <v>30330000</v>
      </c>
      <c r="V7">
        <v>54460000</v>
      </c>
      <c r="W7">
        <v>63840000</v>
      </c>
      <c r="X7">
        <v>200000</v>
      </c>
      <c r="AA7">
        <v>3.13</v>
      </c>
      <c r="AB7">
        <v>9930.66</v>
      </c>
      <c r="AC7">
        <v>2.7330000000000001</v>
      </c>
      <c r="AD7">
        <v>3.13</v>
      </c>
      <c r="AE7">
        <v>9928.98</v>
      </c>
      <c r="AF7">
        <v>2.7347999999999999</v>
      </c>
      <c r="AG7">
        <v>3.097</v>
      </c>
      <c r="AH7">
        <v>3.1520000000000001</v>
      </c>
      <c r="AI7">
        <v>3.097</v>
      </c>
      <c r="AJ7">
        <v>3.1349999999999998</v>
      </c>
      <c r="AK7">
        <v>153000000000</v>
      </c>
      <c r="AL7">
        <v>950000000</v>
      </c>
      <c r="AM7">
        <v>80000000000</v>
      </c>
      <c r="AN7">
        <v>19000000000</v>
      </c>
      <c r="AO7">
        <v>36000000000</v>
      </c>
      <c r="AP7">
        <v>-500000000</v>
      </c>
      <c r="AS7">
        <v>10883372</v>
      </c>
      <c r="AT7">
        <v>112700000</v>
      </c>
      <c r="AU7">
        <v>75356000</v>
      </c>
      <c r="AV7">
        <v>105344000</v>
      </c>
      <c r="AW7">
        <v>1400000</v>
      </c>
      <c r="AX7">
        <v>3000000</v>
      </c>
      <c r="AY7">
        <v>500000</v>
      </c>
      <c r="AZ7">
        <v>3.4119999999999999</v>
      </c>
      <c r="BA7">
        <v>9707.26</v>
      </c>
      <c r="BB7">
        <v>4.2762000000000002</v>
      </c>
      <c r="BC7">
        <v>3.4119999999999999</v>
      </c>
      <c r="BD7">
        <v>9705.44</v>
      </c>
      <c r="BE7">
        <v>4.2779999999999996</v>
      </c>
      <c r="BF7">
        <v>3.3919999999999999</v>
      </c>
      <c r="BG7">
        <v>3.4380000000000002</v>
      </c>
      <c r="BH7">
        <v>3.3849999999999998</v>
      </c>
      <c r="BI7">
        <v>3.415</v>
      </c>
      <c r="BJ7">
        <v>242000000000</v>
      </c>
      <c r="BK7">
        <v>34192930000</v>
      </c>
      <c r="BL7">
        <v>48000000000</v>
      </c>
      <c r="BM7">
        <v>44000000000</v>
      </c>
      <c r="BN7">
        <v>136500000000</v>
      </c>
      <c r="BO7">
        <v>5000000000</v>
      </c>
      <c r="BR7">
        <v>187188318</v>
      </c>
      <c r="BS7">
        <v>197110000</v>
      </c>
      <c r="BT7">
        <v>165021800</v>
      </c>
      <c r="BU7">
        <v>358498200</v>
      </c>
      <c r="BV7">
        <v>5500000</v>
      </c>
      <c r="BW7">
        <v>48700000</v>
      </c>
      <c r="BY7">
        <v>3.58</v>
      </c>
      <c r="BZ7">
        <v>9767.52</v>
      </c>
      <c r="CA7">
        <v>8.3214000000000006</v>
      </c>
      <c r="CB7">
        <v>3.58</v>
      </c>
      <c r="CC7">
        <v>9765.6200000000008</v>
      </c>
      <c r="CD7">
        <v>8.3231999999999999</v>
      </c>
      <c r="CE7">
        <v>3.6</v>
      </c>
      <c r="CF7">
        <v>3.601</v>
      </c>
      <c r="CG7">
        <v>3.45</v>
      </c>
      <c r="CH7">
        <v>3.5819999999999999</v>
      </c>
      <c r="CI7">
        <v>66300000000</v>
      </c>
      <c r="CJ7">
        <v>15000000</v>
      </c>
      <c r="CK7">
        <v>1000000000</v>
      </c>
      <c r="CL7">
        <v>45850000000</v>
      </c>
      <c r="CM7">
        <v>15150000000</v>
      </c>
      <c r="CN7">
        <v>5000000000</v>
      </c>
      <c r="CO7">
        <v>5000000000</v>
      </c>
      <c r="CQ7">
        <v>80770356.700000003</v>
      </c>
      <c r="CR7">
        <v>78530000</v>
      </c>
      <c r="CS7">
        <v>91445000</v>
      </c>
      <c r="CT7">
        <v>26005000</v>
      </c>
      <c r="CU7">
        <v>3600000</v>
      </c>
      <c r="CV7">
        <v>6400000</v>
      </c>
      <c r="CX7">
        <v>3.58</v>
      </c>
      <c r="CY7">
        <v>8940.7900000000009</v>
      </c>
      <c r="CZ7">
        <v>14.5342</v>
      </c>
      <c r="DA7">
        <v>3.58</v>
      </c>
      <c r="DB7">
        <v>8939.0300000000007</v>
      </c>
      <c r="DC7">
        <v>14.536</v>
      </c>
      <c r="DD7">
        <v>3.6840000000000002</v>
      </c>
      <c r="DE7">
        <v>3.6840000000000002</v>
      </c>
      <c r="DF7">
        <v>3.58</v>
      </c>
      <c r="DG7">
        <v>3.58</v>
      </c>
      <c r="DH7">
        <v>965900000</v>
      </c>
      <c r="DI7">
        <v>73620000</v>
      </c>
      <c r="DJ7">
        <v>10000000000</v>
      </c>
      <c r="DK7">
        <v>1000000000</v>
      </c>
      <c r="DL7">
        <v>0</v>
      </c>
      <c r="DP7">
        <v>86635331</v>
      </c>
      <c r="DQ7">
        <v>25900000</v>
      </c>
      <c r="DR7">
        <v>42930000</v>
      </c>
      <c r="DS7">
        <v>20550000</v>
      </c>
      <c r="DT7">
        <v>-2100000</v>
      </c>
      <c r="DW7">
        <v>3.46</v>
      </c>
      <c r="DX7">
        <v>8559.19</v>
      </c>
      <c r="DY7">
        <v>19.3233</v>
      </c>
      <c r="DZ7">
        <v>3.46</v>
      </c>
      <c r="EA7">
        <v>8557.56</v>
      </c>
      <c r="EB7">
        <v>19.324999999999999</v>
      </c>
      <c r="EC7">
        <v>3.4390000000000001</v>
      </c>
      <c r="ED7">
        <v>3.4820000000000002</v>
      </c>
      <c r="EE7">
        <v>3.31</v>
      </c>
      <c r="EF7">
        <v>3.4670000000000001</v>
      </c>
      <c r="EG7">
        <v>89511654000</v>
      </c>
      <c r="EH7">
        <v>-18500000000</v>
      </c>
      <c r="EI7">
        <v>10000000000</v>
      </c>
      <c r="EJ7">
        <v>23300000000</v>
      </c>
      <c r="EK7">
        <v>63700000000</v>
      </c>
      <c r="EM7">
        <v>-3000000000</v>
      </c>
      <c r="EO7">
        <v>851721954.10000002</v>
      </c>
      <c r="EP7">
        <v>211410000</v>
      </c>
      <c r="EQ7">
        <v>717358000</v>
      </c>
      <c r="ER7">
        <v>231635000</v>
      </c>
      <c r="ES7">
        <v>14650000</v>
      </c>
      <c r="ET7">
        <v>-1600000</v>
      </c>
      <c r="EV7">
        <v>3.34</v>
      </c>
      <c r="EW7">
        <v>8690.07</v>
      </c>
      <c r="EX7">
        <v>24.650099999999998</v>
      </c>
      <c r="EY7">
        <v>3.34</v>
      </c>
      <c r="EZ7">
        <v>8688.48</v>
      </c>
      <c r="FA7">
        <v>24.651900000000001</v>
      </c>
      <c r="FB7">
        <v>3.2930000000000001</v>
      </c>
      <c r="FC7">
        <v>3.33</v>
      </c>
      <c r="FD7">
        <v>3.2930000000000001</v>
      </c>
      <c r="FE7">
        <v>3.33</v>
      </c>
      <c r="FF7">
        <v>820000000</v>
      </c>
      <c r="FG7">
        <v>-180000000</v>
      </c>
      <c r="FH7">
        <v>1000000000</v>
      </c>
      <c r="FI7">
        <v>146000000000</v>
      </c>
      <c r="FJ7">
        <v>1000000000</v>
      </c>
      <c r="FN7">
        <v>178245294</v>
      </c>
      <c r="FO7">
        <v>-38650000</v>
      </c>
      <c r="FP7">
        <v>243700000</v>
      </c>
      <c r="FQ7">
        <v>-6600000</v>
      </c>
      <c r="FS7">
        <v>-14800000</v>
      </c>
      <c r="FU7">
        <v>2.9529999999999998</v>
      </c>
      <c r="FV7">
        <v>9996.85</v>
      </c>
      <c r="FW7">
        <v>1.8755999999999999</v>
      </c>
      <c r="FX7">
        <v>2.9529999999999998</v>
      </c>
      <c r="FY7">
        <v>9995.2199999999993</v>
      </c>
      <c r="FZ7">
        <v>1.8774</v>
      </c>
      <c r="GA7">
        <v>2.93</v>
      </c>
      <c r="GB7">
        <v>2.95</v>
      </c>
      <c r="GC7">
        <v>2.93</v>
      </c>
      <c r="GD7">
        <v>2.95</v>
      </c>
      <c r="GE7">
        <v>110000000000</v>
      </c>
      <c r="GG7">
        <v>50000000000</v>
      </c>
      <c r="GH7">
        <v>30000000000</v>
      </c>
      <c r="GI7">
        <v>10000000000</v>
      </c>
      <c r="GN7">
        <v>52000000</v>
      </c>
      <c r="GO7">
        <v>24000000</v>
      </c>
      <c r="GP7">
        <v>6000000</v>
      </c>
      <c r="GT7">
        <v>3.17</v>
      </c>
      <c r="GU7">
        <v>9859.2000000000007</v>
      </c>
      <c r="GV7">
        <v>2.5030000000000001</v>
      </c>
      <c r="GW7">
        <v>3.17</v>
      </c>
      <c r="GX7">
        <v>9857.4699999999993</v>
      </c>
      <c r="GY7">
        <v>2.5047999999999999</v>
      </c>
      <c r="GZ7">
        <v>3.1419999999999999</v>
      </c>
      <c r="HA7">
        <v>3.1949999999999998</v>
      </c>
      <c r="HB7">
        <v>3.1419999999999999</v>
      </c>
      <c r="HC7">
        <v>3.19</v>
      </c>
      <c r="HD7">
        <v>70000000000</v>
      </c>
      <c r="HF7">
        <v>-50000000000</v>
      </c>
      <c r="HG7">
        <v>120000000000</v>
      </c>
      <c r="HH7">
        <v>3500000000</v>
      </c>
      <c r="HL7">
        <v>1000000</v>
      </c>
      <c r="HM7">
        <v>363000000</v>
      </c>
      <c r="HN7">
        <v>79300000</v>
      </c>
      <c r="HO7">
        <v>-1750000</v>
      </c>
      <c r="HQ7">
        <v>20000000</v>
      </c>
    </row>
    <row r="8" spans="1:226" x14ac:dyDescent="0.3">
      <c r="A8" s="2">
        <v>46048</v>
      </c>
      <c r="B8">
        <v>2.89</v>
      </c>
      <c r="C8">
        <v>9984.93</v>
      </c>
      <c r="D8">
        <v>1.5665</v>
      </c>
      <c r="E8">
        <v>2.87</v>
      </c>
      <c r="F8">
        <v>9988.0499999999993</v>
      </c>
      <c r="G8">
        <v>1.5622</v>
      </c>
      <c r="H8">
        <v>2.84</v>
      </c>
      <c r="I8">
        <v>2.8869199999999999</v>
      </c>
      <c r="J8">
        <v>2.84</v>
      </c>
      <c r="K8">
        <v>2.8869199999999999</v>
      </c>
      <c r="L8">
        <v>63045869000</v>
      </c>
      <c r="M8">
        <v>30000000000</v>
      </c>
      <c r="N8">
        <v>20000000000</v>
      </c>
      <c r="O8">
        <v>-4000000000</v>
      </c>
      <c r="P8">
        <v>13000000000</v>
      </c>
      <c r="T8">
        <v>788032781</v>
      </c>
      <c r="U8">
        <v>32330000</v>
      </c>
      <c r="V8">
        <v>54460000</v>
      </c>
      <c r="W8">
        <v>65140000</v>
      </c>
      <c r="X8">
        <v>200000</v>
      </c>
      <c r="AA8">
        <v>3.13</v>
      </c>
      <c r="AB8">
        <v>9931.51</v>
      </c>
      <c r="AC8">
        <v>2.7311999999999999</v>
      </c>
      <c r="AD8">
        <v>3.0920000000000001</v>
      </c>
      <c r="AE8">
        <v>9941.81</v>
      </c>
      <c r="AF8">
        <v>2.7273000000000001</v>
      </c>
      <c r="AG8">
        <v>3.0990000000000002</v>
      </c>
      <c r="AH8">
        <v>3.13</v>
      </c>
      <c r="AI8">
        <v>3.09</v>
      </c>
      <c r="AJ8">
        <v>3.0920000000000001</v>
      </c>
      <c r="AK8">
        <v>130000000000</v>
      </c>
      <c r="AL8">
        <v>950000000</v>
      </c>
      <c r="AM8">
        <v>13000000000</v>
      </c>
      <c r="AN8">
        <v>83300000000</v>
      </c>
      <c r="AO8">
        <v>22500000000</v>
      </c>
      <c r="AP8">
        <v>-500000000</v>
      </c>
      <c r="AS8">
        <v>10883372</v>
      </c>
      <c r="AT8">
        <v>114000000</v>
      </c>
      <c r="AU8">
        <v>83686000</v>
      </c>
      <c r="AV8">
        <v>107594000</v>
      </c>
      <c r="AW8">
        <v>1400000</v>
      </c>
      <c r="AX8">
        <v>3000000</v>
      </c>
      <c r="AY8">
        <v>500000</v>
      </c>
      <c r="AZ8">
        <v>3.4119999999999999</v>
      </c>
      <c r="BA8">
        <v>9708.17</v>
      </c>
      <c r="BB8">
        <v>4.2744</v>
      </c>
      <c r="BC8">
        <v>3.3820000000000001</v>
      </c>
      <c r="BD8">
        <v>9720.6200000000008</v>
      </c>
      <c r="BE8">
        <v>4.2708000000000004</v>
      </c>
      <c r="BF8">
        <v>3.3849999999999998</v>
      </c>
      <c r="BG8">
        <v>3.4249999999999998</v>
      </c>
      <c r="BH8">
        <v>3.36</v>
      </c>
      <c r="BI8">
        <v>3.3849999999999998</v>
      </c>
      <c r="BJ8">
        <v>379854237700</v>
      </c>
      <c r="BK8">
        <v>215854237700</v>
      </c>
      <c r="BL8">
        <v>-54000000000</v>
      </c>
      <c r="BM8">
        <v>6000000000</v>
      </c>
      <c r="BN8">
        <v>196000000000</v>
      </c>
      <c r="BO8">
        <v>8000000000</v>
      </c>
      <c r="BR8">
        <v>208773741.77000001</v>
      </c>
      <c r="BS8">
        <v>191710000</v>
      </c>
      <c r="BT8">
        <v>165621800</v>
      </c>
      <c r="BU8">
        <v>378098200</v>
      </c>
      <c r="BV8">
        <v>6300000</v>
      </c>
      <c r="BW8">
        <v>48700000</v>
      </c>
      <c r="BY8">
        <v>3.58</v>
      </c>
      <c r="BZ8">
        <v>9768.4699999999993</v>
      </c>
      <c r="CA8">
        <v>8.3195999999999994</v>
      </c>
      <c r="CB8">
        <v>3.5449999999999999</v>
      </c>
      <c r="CC8">
        <v>9797.5</v>
      </c>
      <c r="CD8">
        <v>8.3191000000000006</v>
      </c>
      <c r="CE8">
        <v>3.544</v>
      </c>
      <c r="CF8">
        <v>3.6</v>
      </c>
      <c r="CG8">
        <v>3.5009999999999999</v>
      </c>
      <c r="CH8">
        <v>3.5449999999999999</v>
      </c>
      <c r="CI8">
        <v>5003050000</v>
      </c>
      <c r="CJ8">
        <v>15000000</v>
      </c>
      <c r="CK8">
        <v>1000000000</v>
      </c>
      <c r="CL8">
        <v>7150000000</v>
      </c>
      <c r="CM8">
        <v>-11150000000</v>
      </c>
      <c r="CN8">
        <v>5000000000</v>
      </c>
      <c r="CO8">
        <v>3000000000</v>
      </c>
      <c r="CQ8">
        <v>80770356.700000003</v>
      </c>
      <c r="CR8">
        <v>78630000</v>
      </c>
      <c r="CS8">
        <v>92160000</v>
      </c>
      <c r="CT8">
        <v>24890000</v>
      </c>
      <c r="CU8">
        <v>3600000</v>
      </c>
      <c r="CV8">
        <v>6700000</v>
      </c>
      <c r="CX8">
        <v>3.58</v>
      </c>
      <c r="CY8">
        <v>8941.67</v>
      </c>
      <c r="CZ8">
        <v>14.532400000000001</v>
      </c>
      <c r="DA8">
        <v>3.5750000000000002</v>
      </c>
      <c r="DB8">
        <v>8948.17</v>
      </c>
      <c r="DC8">
        <v>14.5304</v>
      </c>
      <c r="DD8">
        <v>3.55</v>
      </c>
      <c r="DE8">
        <v>3.58</v>
      </c>
      <c r="DF8">
        <v>3.55</v>
      </c>
      <c r="DG8">
        <v>3.58</v>
      </c>
      <c r="DH8">
        <v>1000000000</v>
      </c>
      <c r="DI8">
        <v>73620000</v>
      </c>
      <c r="DJ8">
        <v>10000000000</v>
      </c>
      <c r="DK8">
        <v>1000000000</v>
      </c>
      <c r="DL8">
        <v>1000000000</v>
      </c>
      <c r="DP8">
        <v>86635331</v>
      </c>
      <c r="DQ8">
        <v>25900000</v>
      </c>
      <c r="DR8">
        <v>42930000</v>
      </c>
      <c r="DS8">
        <v>20650000</v>
      </c>
      <c r="DT8">
        <v>-2100000</v>
      </c>
      <c r="DW8">
        <v>3.46</v>
      </c>
      <c r="DX8">
        <v>8560.01</v>
      </c>
      <c r="DY8">
        <v>19.3215</v>
      </c>
      <c r="DZ8">
        <v>3.4550000000000001</v>
      </c>
      <c r="EA8">
        <v>8568.2800000000007</v>
      </c>
      <c r="EB8">
        <v>19.322900000000001</v>
      </c>
      <c r="EC8">
        <v>3.44</v>
      </c>
      <c r="ED8">
        <v>3.54</v>
      </c>
      <c r="EE8">
        <v>3.32</v>
      </c>
      <c r="EF8">
        <v>3.46</v>
      </c>
      <c r="EG8">
        <v>117688433000</v>
      </c>
      <c r="EH8">
        <v>-27300000000</v>
      </c>
      <c r="EI8">
        <v>15000000000</v>
      </c>
      <c r="EJ8">
        <v>67100000000</v>
      </c>
      <c r="EK8">
        <v>54900000000</v>
      </c>
      <c r="EM8">
        <v>-3000000000</v>
      </c>
      <c r="EO8">
        <v>848991954.10000002</v>
      </c>
      <c r="EP8">
        <v>212910000</v>
      </c>
      <c r="EQ8">
        <v>724068000</v>
      </c>
      <c r="ER8">
        <v>237125000</v>
      </c>
      <c r="ES8">
        <v>14650000</v>
      </c>
      <c r="ET8">
        <v>-1600000</v>
      </c>
      <c r="EV8">
        <v>3.34</v>
      </c>
      <c r="EW8">
        <v>8690.8700000000008</v>
      </c>
      <c r="EX8">
        <v>24.648299999999999</v>
      </c>
      <c r="EY8">
        <v>3.335</v>
      </c>
      <c r="EZ8">
        <v>8701.59</v>
      </c>
      <c r="FA8">
        <v>24.658999999999999</v>
      </c>
      <c r="FB8">
        <v>3.2930000000000001</v>
      </c>
      <c r="FC8">
        <v>3.33</v>
      </c>
      <c r="FD8">
        <v>3.2930000000000001</v>
      </c>
      <c r="FE8">
        <v>3.33</v>
      </c>
      <c r="FF8">
        <v>820000000</v>
      </c>
      <c r="FG8">
        <v>-180000000</v>
      </c>
      <c r="FH8">
        <v>1000000000</v>
      </c>
      <c r="FI8">
        <v>146000000000</v>
      </c>
      <c r="FJ8">
        <v>1000000000</v>
      </c>
      <c r="FN8">
        <v>178245294</v>
      </c>
      <c r="FO8">
        <v>-38650000</v>
      </c>
      <c r="FP8">
        <v>243700000</v>
      </c>
      <c r="FQ8">
        <v>-6600000</v>
      </c>
      <c r="FS8">
        <v>-14800000</v>
      </c>
      <c r="FU8">
        <v>2.9529999999999998</v>
      </c>
      <c r="FV8">
        <v>9997.66</v>
      </c>
      <c r="FW8">
        <v>1.8737999999999999</v>
      </c>
      <c r="FX8">
        <v>2.9350000000000001</v>
      </c>
      <c r="FY8">
        <v>10001.030000000001</v>
      </c>
      <c r="FZ8">
        <v>1.8693</v>
      </c>
      <c r="GA8">
        <v>2.95</v>
      </c>
      <c r="GB8">
        <v>2.95</v>
      </c>
      <c r="GC8">
        <v>2.93</v>
      </c>
      <c r="GD8">
        <v>2.94</v>
      </c>
      <c r="GE8">
        <v>10000000000</v>
      </c>
      <c r="GG8">
        <v>10000000000</v>
      </c>
      <c r="GH8">
        <v>30000000000</v>
      </c>
      <c r="GI8">
        <v>10000000000</v>
      </c>
      <c r="GN8">
        <v>53000000</v>
      </c>
      <c r="GO8">
        <v>24000000</v>
      </c>
      <c r="GP8">
        <v>6000000</v>
      </c>
      <c r="GT8">
        <v>3.17</v>
      </c>
      <c r="GU8">
        <v>9860.07</v>
      </c>
      <c r="GV8">
        <v>2.5011999999999999</v>
      </c>
      <c r="GW8">
        <v>3.1349999999999998</v>
      </c>
      <c r="GX8">
        <v>9868.86</v>
      </c>
      <c r="GY8">
        <v>2.4967999999999999</v>
      </c>
      <c r="GZ8">
        <v>3.14</v>
      </c>
      <c r="HA8">
        <v>3.14</v>
      </c>
      <c r="HB8">
        <v>3.1349999999999998</v>
      </c>
      <c r="HC8">
        <v>3.1349999999999998</v>
      </c>
      <c r="HD8">
        <v>-40000000000</v>
      </c>
      <c r="HF8">
        <v>-40000000000</v>
      </c>
      <c r="HG8">
        <v>120000000000</v>
      </c>
      <c r="HH8">
        <v>3500000000</v>
      </c>
      <c r="HL8">
        <v>1000000</v>
      </c>
      <c r="HM8">
        <v>359000000</v>
      </c>
      <c r="HN8">
        <v>79300000</v>
      </c>
      <c r="HO8">
        <v>-1750000</v>
      </c>
      <c r="HQ8">
        <v>20000000</v>
      </c>
    </row>
    <row r="9" spans="1:226" x14ac:dyDescent="0.3">
      <c r="A9" s="2">
        <v>46049</v>
      </c>
      <c r="B9">
        <v>2.87</v>
      </c>
      <c r="C9">
        <v>9988.84</v>
      </c>
      <c r="D9">
        <v>1.5622</v>
      </c>
      <c r="E9">
        <v>2.87</v>
      </c>
      <c r="F9">
        <v>9988.84</v>
      </c>
      <c r="G9">
        <v>1.5593999999999999</v>
      </c>
      <c r="H9">
        <v>2.8969999999999998</v>
      </c>
      <c r="I9">
        <v>2.899</v>
      </c>
      <c r="J9">
        <v>2.87</v>
      </c>
      <c r="K9">
        <v>2.879</v>
      </c>
      <c r="L9">
        <v>45000000000</v>
      </c>
      <c r="M9">
        <v>2000000000</v>
      </c>
      <c r="N9">
        <v>20000000000</v>
      </c>
      <c r="O9">
        <v>20000000000</v>
      </c>
      <c r="P9">
        <v>3000000000</v>
      </c>
      <c r="T9">
        <v>788232781</v>
      </c>
      <c r="U9">
        <v>34330000</v>
      </c>
      <c r="V9">
        <v>56460000</v>
      </c>
      <c r="W9">
        <v>65440000</v>
      </c>
      <c r="X9">
        <v>200000</v>
      </c>
      <c r="AA9">
        <v>3.0920000000000001</v>
      </c>
      <c r="AB9">
        <v>9942.65</v>
      </c>
      <c r="AC9">
        <v>2.7273000000000001</v>
      </c>
      <c r="AD9">
        <v>3.089</v>
      </c>
      <c r="AE9">
        <v>9943.4599999999991</v>
      </c>
      <c r="AF9">
        <v>2.7246999999999999</v>
      </c>
      <c r="AG9">
        <v>3.0920000000000001</v>
      </c>
      <c r="AH9">
        <v>3.1139999999999999</v>
      </c>
      <c r="AI9">
        <v>3.0840000000000001</v>
      </c>
      <c r="AJ9">
        <v>3.0920000000000001</v>
      </c>
      <c r="AK9">
        <v>60000000000</v>
      </c>
      <c r="AL9">
        <v>950000000</v>
      </c>
      <c r="AM9">
        <v>10000000000</v>
      </c>
      <c r="AN9">
        <v>14000000000</v>
      </c>
      <c r="AO9">
        <v>30000000000</v>
      </c>
      <c r="AP9">
        <v>1000000000</v>
      </c>
      <c r="AS9">
        <v>10883372</v>
      </c>
      <c r="AT9">
        <v>115000000</v>
      </c>
      <c r="AU9">
        <v>85086000</v>
      </c>
      <c r="AV9">
        <v>110594000</v>
      </c>
      <c r="AW9">
        <v>1500000</v>
      </c>
      <c r="AX9">
        <v>3000000</v>
      </c>
      <c r="AY9">
        <v>500000</v>
      </c>
      <c r="AZ9">
        <v>3.3820000000000001</v>
      </c>
      <c r="BA9">
        <v>9721.5300000000007</v>
      </c>
      <c r="BB9">
        <v>4.2708000000000004</v>
      </c>
      <c r="BC9">
        <v>3.375</v>
      </c>
      <c r="BD9">
        <v>9724.43</v>
      </c>
      <c r="BE9">
        <v>4.2683</v>
      </c>
      <c r="BF9">
        <v>3.38</v>
      </c>
      <c r="BG9">
        <v>3.42</v>
      </c>
      <c r="BH9">
        <v>3.36</v>
      </c>
      <c r="BI9">
        <v>3.375</v>
      </c>
      <c r="BJ9">
        <v>79023000000</v>
      </c>
      <c r="BK9">
        <v>23000000</v>
      </c>
      <c r="BL9">
        <v>33000000000</v>
      </c>
      <c r="BM9">
        <v>-5000000000</v>
      </c>
      <c r="BN9">
        <v>17000000000</v>
      </c>
      <c r="BO9">
        <v>5000000000</v>
      </c>
      <c r="BR9">
        <v>208776041.77000001</v>
      </c>
      <c r="BS9">
        <v>195010000</v>
      </c>
      <c r="BT9">
        <v>165121800</v>
      </c>
      <c r="BU9">
        <v>379798200</v>
      </c>
      <c r="BV9">
        <v>6800000</v>
      </c>
      <c r="BW9">
        <v>48700000</v>
      </c>
      <c r="BY9">
        <v>3.5449999999999999</v>
      </c>
      <c r="BZ9">
        <v>9798.44</v>
      </c>
      <c r="CA9">
        <v>8.3191000000000006</v>
      </c>
      <c r="CB9">
        <v>3.5270000000000001</v>
      </c>
      <c r="CC9">
        <v>9813.1200000000008</v>
      </c>
      <c r="CD9">
        <v>8.3185000000000002</v>
      </c>
      <c r="CE9">
        <v>3.5419999999999998</v>
      </c>
      <c r="CF9">
        <v>3.552</v>
      </c>
      <c r="CG9">
        <v>3.415</v>
      </c>
      <c r="CH9">
        <v>3.5510000000000002</v>
      </c>
      <c r="CI9">
        <v>58101959000</v>
      </c>
      <c r="CJ9">
        <v>1000000</v>
      </c>
      <c r="CK9">
        <v>10000000000</v>
      </c>
      <c r="CL9">
        <v>44000000000</v>
      </c>
      <c r="CM9">
        <v>2000000000</v>
      </c>
      <c r="CN9">
        <v>5000000000</v>
      </c>
      <c r="CO9">
        <v>3000000000</v>
      </c>
      <c r="CQ9">
        <v>80770456.700000003</v>
      </c>
      <c r="CR9">
        <v>79630000</v>
      </c>
      <c r="CS9">
        <v>96560000</v>
      </c>
      <c r="CT9">
        <v>25090000</v>
      </c>
      <c r="CU9">
        <v>3600000</v>
      </c>
      <c r="CV9">
        <v>6700000</v>
      </c>
      <c r="CX9">
        <v>3.5750000000000002</v>
      </c>
      <c r="CY9">
        <v>8949.0499999999993</v>
      </c>
      <c r="CZ9">
        <v>14.5304</v>
      </c>
      <c r="DA9">
        <v>3.5449999999999999</v>
      </c>
      <c r="DB9">
        <v>8988.15</v>
      </c>
      <c r="DC9">
        <v>14.5425</v>
      </c>
      <c r="DD9">
        <v>3.5649999999999999</v>
      </c>
      <c r="DE9">
        <v>3.5720000000000001</v>
      </c>
      <c r="DF9">
        <v>3.5449999999999999</v>
      </c>
      <c r="DG9">
        <v>3.5449999999999999</v>
      </c>
      <c r="DH9">
        <v>35000000000</v>
      </c>
      <c r="DI9">
        <v>55000000000</v>
      </c>
      <c r="DJ9">
        <v>-20000000000</v>
      </c>
      <c r="DK9">
        <v>1000000000</v>
      </c>
      <c r="DL9">
        <v>-1000000000</v>
      </c>
      <c r="DP9">
        <v>92135331</v>
      </c>
      <c r="DQ9">
        <v>23900000</v>
      </c>
      <c r="DR9">
        <v>43030000</v>
      </c>
      <c r="DS9">
        <v>20550000</v>
      </c>
      <c r="DT9">
        <v>-2100000</v>
      </c>
      <c r="DW9">
        <v>3.4550000000000001</v>
      </c>
      <c r="DX9">
        <v>8569.09</v>
      </c>
      <c r="DY9">
        <v>19.322900000000001</v>
      </c>
      <c r="DZ9">
        <v>3.44</v>
      </c>
      <c r="EA9">
        <v>8593.9699999999993</v>
      </c>
      <c r="EB9">
        <v>19.338100000000001</v>
      </c>
      <c r="EC9">
        <v>3.444</v>
      </c>
      <c r="ED9">
        <v>3.4649999999999999</v>
      </c>
      <c r="EE9">
        <v>3.3159999999999998</v>
      </c>
      <c r="EF9">
        <v>3.44</v>
      </c>
      <c r="EG9">
        <v>-209137150000</v>
      </c>
      <c r="EH9">
        <v>-77520000000</v>
      </c>
      <c r="EI9">
        <v>-8000000000</v>
      </c>
      <c r="EJ9">
        <v>20600000000</v>
      </c>
      <c r="EK9">
        <v>-155600000000</v>
      </c>
      <c r="EM9">
        <v>-3000000000</v>
      </c>
      <c r="EO9">
        <v>841239954.10000002</v>
      </c>
      <c r="EP9">
        <v>212110000</v>
      </c>
      <c r="EQ9">
        <v>726128000</v>
      </c>
      <c r="ER9">
        <v>221565000</v>
      </c>
      <c r="ES9">
        <v>14650000</v>
      </c>
      <c r="ET9">
        <v>-1600000</v>
      </c>
      <c r="EV9">
        <v>3.335</v>
      </c>
      <c r="EW9">
        <v>8702.39</v>
      </c>
      <c r="EX9">
        <v>24.658999999999999</v>
      </c>
      <c r="EY9">
        <v>3.32</v>
      </c>
      <c r="EZ9">
        <v>8734.66</v>
      </c>
      <c r="FA9">
        <v>24.701899999999998</v>
      </c>
      <c r="FB9">
        <v>3.3460000000000001</v>
      </c>
      <c r="FC9">
        <v>3.3460000000000001</v>
      </c>
      <c r="FD9">
        <v>3.32</v>
      </c>
      <c r="FE9">
        <v>3.32</v>
      </c>
      <c r="FF9">
        <v>-290000000</v>
      </c>
      <c r="FG9">
        <v>-290000000</v>
      </c>
      <c r="FH9">
        <v>1000000000</v>
      </c>
      <c r="FI9">
        <v>146000000000</v>
      </c>
      <c r="FJ9">
        <v>1000000000</v>
      </c>
      <c r="FN9">
        <v>178216294</v>
      </c>
      <c r="FO9">
        <v>-38650000</v>
      </c>
      <c r="FP9">
        <v>243700000</v>
      </c>
      <c r="FQ9">
        <v>-6600000</v>
      </c>
      <c r="FS9">
        <v>-14800000</v>
      </c>
      <c r="FU9">
        <v>2.9350000000000001</v>
      </c>
      <c r="FV9">
        <v>10001.84</v>
      </c>
      <c r="FW9">
        <v>1.8693</v>
      </c>
      <c r="FX9">
        <v>2.94</v>
      </c>
      <c r="FY9">
        <v>10000.91</v>
      </c>
      <c r="FZ9">
        <v>1.8665</v>
      </c>
      <c r="GA9">
        <v>2.9449999999999998</v>
      </c>
      <c r="GB9">
        <v>2.9449999999999998</v>
      </c>
      <c r="GC9">
        <v>2.94</v>
      </c>
      <c r="GD9">
        <v>2.94</v>
      </c>
      <c r="GE9">
        <v>10000000000</v>
      </c>
      <c r="GG9">
        <v>10000000000</v>
      </c>
      <c r="GH9">
        <v>-10000000000</v>
      </c>
      <c r="GI9">
        <v>10000000000</v>
      </c>
      <c r="GN9">
        <v>53000000</v>
      </c>
      <c r="GO9">
        <v>23000000</v>
      </c>
      <c r="GP9">
        <v>7000000</v>
      </c>
      <c r="GT9">
        <v>3.1349999999999998</v>
      </c>
      <c r="GU9">
        <v>9869.7099999999991</v>
      </c>
      <c r="GV9">
        <v>2.4967999999999999</v>
      </c>
      <c r="GW9">
        <v>3.13</v>
      </c>
      <c r="GX9">
        <v>9870.9500000000007</v>
      </c>
      <c r="GY9">
        <v>2.4942000000000002</v>
      </c>
      <c r="GZ9">
        <v>3.145</v>
      </c>
      <c r="HA9">
        <v>3.145</v>
      </c>
      <c r="HB9">
        <v>3.13</v>
      </c>
      <c r="HC9">
        <v>3.13</v>
      </c>
      <c r="HD9">
        <v>40000000000</v>
      </c>
      <c r="HF9">
        <v>40000000000</v>
      </c>
      <c r="HG9">
        <v>120000000000</v>
      </c>
      <c r="HH9">
        <v>3500000000</v>
      </c>
      <c r="HL9">
        <v>1000000</v>
      </c>
      <c r="HM9">
        <v>363000000</v>
      </c>
      <c r="HN9">
        <v>79300000</v>
      </c>
      <c r="HO9">
        <v>-1750000</v>
      </c>
      <c r="HQ9">
        <v>20000000</v>
      </c>
    </row>
    <row r="10" spans="1:226" x14ac:dyDescent="0.3">
      <c r="A10" s="2">
        <v>46050</v>
      </c>
      <c r="B10">
        <v>2.87</v>
      </c>
      <c r="C10">
        <v>9989.6299999999992</v>
      </c>
      <c r="D10">
        <v>1.5593999999999999</v>
      </c>
      <c r="E10">
        <v>2.855</v>
      </c>
      <c r="F10">
        <v>9991.9699999999993</v>
      </c>
      <c r="G10">
        <v>1.5568</v>
      </c>
      <c r="H10">
        <v>2.8719999999999999</v>
      </c>
      <c r="I10">
        <v>2.8849999999999998</v>
      </c>
      <c r="J10">
        <v>2.855</v>
      </c>
      <c r="K10">
        <v>2.8580000000000001</v>
      </c>
      <c r="L10">
        <v>30700000000</v>
      </c>
      <c r="M10">
        <v>1700000000</v>
      </c>
      <c r="N10">
        <v>20000000000</v>
      </c>
      <c r="O10">
        <v>6000000000</v>
      </c>
      <c r="P10">
        <v>3000000000</v>
      </c>
      <c r="T10">
        <v>788402781</v>
      </c>
      <c r="U10">
        <v>36330000</v>
      </c>
      <c r="V10">
        <v>57060000</v>
      </c>
      <c r="W10">
        <v>65740000</v>
      </c>
      <c r="X10">
        <v>200000</v>
      </c>
      <c r="AA10">
        <v>3.089</v>
      </c>
      <c r="AB10">
        <v>9944.2999999999993</v>
      </c>
      <c r="AC10">
        <v>2.7246999999999999</v>
      </c>
      <c r="AD10">
        <v>3.0649999999999999</v>
      </c>
      <c r="AE10">
        <v>9950.7999999999993</v>
      </c>
      <c r="AF10">
        <v>2.7223000000000002</v>
      </c>
      <c r="AG10">
        <v>3.09</v>
      </c>
      <c r="AH10">
        <v>3.09</v>
      </c>
      <c r="AI10">
        <v>3.0619999999999998</v>
      </c>
      <c r="AJ10">
        <v>3.09</v>
      </c>
      <c r="AK10">
        <v>83000000000</v>
      </c>
      <c r="AL10">
        <v>950000000</v>
      </c>
      <c r="AM10">
        <v>-30000000000</v>
      </c>
      <c r="AN10">
        <v>10200000000</v>
      </c>
      <c r="AO10">
        <v>60800000000</v>
      </c>
      <c r="AP10">
        <v>5000000000</v>
      </c>
      <c r="AS10">
        <v>10883372</v>
      </c>
      <c r="AT10">
        <v>112000000</v>
      </c>
      <c r="AU10">
        <v>86106000</v>
      </c>
      <c r="AV10">
        <v>116674000</v>
      </c>
      <c r="AW10">
        <v>2000000</v>
      </c>
      <c r="AX10">
        <v>3000000</v>
      </c>
      <c r="AY10">
        <v>500000</v>
      </c>
      <c r="AZ10">
        <v>3.375</v>
      </c>
      <c r="BA10">
        <v>9725.34</v>
      </c>
      <c r="BB10">
        <v>4.2683</v>
      </c>
      <c r="BC10">
        <v>3.355</v>
      </c>
      <c r="BD10">
        <v>9733.64</v>
      </c>
      <c r="BE10">
        <v>4.2660999999999998</v>
      </c>
      <c r="BF10">
        <v>3.375</v>
      </c>
      <c r="BG10">
        <v>3.42</v>
      </c>
      <c r="BH10">
        <v>3.27</v>
      </c>
      <c r="BI10">
        <v>3.3649900000000001</v>
      </c>
      <c r="BJ10">
        <v>171271654000</v>
      </c>
      <c r="BK10">
        <v>102200000000</v>
      </c>
      <c r="BL10">
        <v>18000000000</v>
      </c>
      <c r="BM10">
        <v>14800000000</v>
      </c>
      <c r="BN10">
        <v>24000000000</v>
      </c>
      <c r="BO10">
        <v>8000000000</v>
      </c>
      <c r="BR10">
        <v>218996041.77000001</v>
      </c>
      <c r="BS10">
        <v>196810000</v>
      </c>
      <c r="BT10">
        <v>166601800</v>
      </c>
      <c r="BU10">
        <v>382198200</v>
      </c>
      <c r="BV10">
        <v>7600000</v>
      </c>
      <c r="BW10">
        <v>48700000</v>
      </c>
      <c r="BY10">
        <v>3.5270000000000001</v>
      </c>
      <c r="BZ10">
        <v>9814.06</v>
      </c>
      <c r="CA10">
        <v>8.3185000000000002</v>
      </c>
      <c r="CB10">
        <v>3.5169999999999999</v>
      </c>
      <c r="CC10">
        <v>9822.23</v>
      </c>
      <c r="CD10">
        <v>8.3169000000000004</v>
      </c>
      <c r="CE10">
        <v>3.5169999999999999</v>
      </c>
      <c r="CF10">
        <v>3.54</v>
      </c>
      <c r="CG10">
        <v>3.423</v>
      </c>
      <c r="CH10">
        <v>3.5266999999999999</v>
      </c>
      <c r="CI10">
        <v>6268390000</v>
      </c>
      <c r="CJ10">
        <v>-34034670000</v>
      </c>
      <c r="CK10">
        <v>2000000000</v>
      </c>
      <c r="CL10">
        <v>33400000000</v>
      </c>
      <c r="CM10">
        <v>4600000000</v>
      </c>
      <c r="CN10">
        <v>5000000000</v>
      </c>
      <c r="CO10">
        <v>3000000000</v>
      </c>
      <c r="CQ10">
        <v>77366989.700000003</v>
      </c>
      <c r="CR10">
        <v>79830000</v>
      </c>
      <c r="CS10">
        <v>99900000</v>
      </c>
      <c r="CT10">
        <v>25550000</v>
      </c>
      <c r="CU10">
        <v>3600000</v>
      </c>
      <c r="CV10">
        <v>6700000</v>
      </c>
      <c r="CX10">
        <v>3.5449999999999999</v>
      </c>
      <c r="CY10">
        <v>8989.0300000000007</v>
      </c>
      <c r="CZ10">
        <v>14.5425</v>
      </c>
      <c r="DA10">
        <v>3.53</v>
      </c>
      <c r="DB10">
        <v>9008.66</v>
      </c>
      <c r="DC10">
        <v>14.5471</v>
      </c>
      <c r="DD10">
        <v>3.5259999999999998</v>
      </c>
      <c r="DE10">
        <v>3.5680000000000001</v>
      </c>
      <c r="DF10">
        <v>3.5209999999999999</v>
      </c>
      <c r="DG10">
        <v>3.53</v>
      </c>
      <c r="DH10">
        <v>18445000000</v>
      </c>
      <c r="DI10">
        <v>1500000000</v>
      </c>
      <c r="DJ10">
        <v>-8000000000</v>
      </c>
      <c r="DK10">
        <v>21000000000</v>
      </c>
      <c r="DL10">
        <v>4000000000</v>
      </c>
      <c r="DP10">
        <v>92285331</v>
      </c>
      <c r="DQ10">
        <v>23100000</v>
      </c>
      <c r="DR10">
        <v>45130000</v>
      </c>
      <c r="DS10">
        <v>20950000</v>
      </c>
      <c r="DT10">
        <v>-2100000</v>
      </c>
      <c r="DW10">
        <v>3.44</v>
      </c>
      <c r="DX10">
        <v>8594.7800000000007</v>
      </c>
      <c r="DY10">
        <v>19.338100000000001</v>
      </c>
      <c r="DZ10">
        <v>3.4369999999999998</v>
      </c>
      <c r="EA10">
        <v>8599.77</v>
      </c>
      <c r="EB10">
        <v>19.338999999999999</v>
      </c>
      <c r="EC10">
        <v>3.4390000000000001</v>
      </c>
      <c r="ED10">
        <v>3.5379999999999998</v>
      </c>
      <c r="EE10">
        <v>3.32</v>
      </c>
      <c r="EF10">
        <v>3.44</v>
      </c>
      <c r="EG10">
        <v>-24571932000</v>
      </c>
      <c r="EH10">
        <v>-64970000000</v>
      </c>
      <c r="EI10">
        <v>-29000000000</v>
      </c>
      <c r="EJ10">
        <v>33800000000</v>
      </c>
      <c r="EK10">
        <v>25200000000</v>
      </c>
      <c r="EL10">
        <v>10000000000</v>
      </c>
      <c r="EM10">
        <v>-3000000000</v>
      </c>
      <c r="EO10">
        <v>834742954.10000002</v>
      </c>
      <c r="EP10">
        <v>209210000</v>
      </c>
      <c r="EQ10">
        <v>729508000</v>
      </c>
      <c r="ER10">
        <v>224085000</v>
      </c>
      <c r="ES10">
        <v>15650000</v>
      </c>
      <c r="ET10">
        <v>-1600000</v>
      </c>
      <c r="EV10">
        <v>3.32</v>
      </c>
      <c r="EW10">
        <v>8735.4599999999991</v>
      </c>
      <c r="EX10">
        <v>24.701899999999998</v>
      </c>
      <c r="EY10">
        <v>3.3170000000000002</v>
      </c>
      <c r="EZ10">
        <v>8741.93</v>
      </c>
      <c r="FA10">
        <v>24.708300000000001</v>
      </c>
      <c r="FB10">
        <v>3.3039999999999998</v>
      </c>
      <c r="FC10">
        <v>3.3039999999999998</v>
      </c>
      <c r="FD10">
        <v>3.3039999999999998</v>
      </c>
      <c r="FE10">
        <v>3.3039999999999998</v>
      </c>
      <c r="FF10">
        <v>150000000</v>
      </c>
      <c r="FG10">
        <v>150000000</v>
      </c>
      <c r="FH10">
        <v>1000000000</v>
      </c>
      <c r="FI10">
        <v>146000000000</v>
      </c>
      <c r="FJ10">
        <v>1000000000</v>
      </c>
      <c r="FN10">
        <v>178231294</v>
      </c>
      <c r="FO10">
        <v>-38650000</v>
      </c>
      <c r="FP10">
        <v>243700000</v>
      </c>
      <c r="FQ10">
        <v>-6600000</v>
      </c>
      <c r="FS10">
        <v>-14800000</v>
      </c>
      <c r="FU10">
        <v>2.94</v>
      </c>
      <c r="FV10">
        <v>10001.719999999999</v>
      </c>
      <c r="FW10">
        <v>1.8665</v>
      </c>
      <c r="FX10">
        <v>2.9420000000000002</v>
      </c>
      <c r="FY10">
        <v>10001.35</v>
      </c>
      <c r="FZ10">
        <v>1.8637999999999999</v>
      </c>
      <c r="GA10">
        <v>2.94</v>
      </c>
      <c r="GB10">
        <v>2.9550000000000001</v>
      </c>
      <c r="GC10">
        <v>2.927</v>
      </c>
      <c r="GD10">
        <v>2.9420000000000002</v>
      </c>
      <c r="GE10">
        <v>100000000000</v>
      </c>
      <c r="GG10">
        <v>80000000000</v>
      </c>
      <c r="GH10">
        <v>-40000000000</v>
      </c>
      <c r="GI10">
        <v>40000000000</v>
      </c>
      <c r="GK10">
        <v>10000000000</v>
      </c>
      <c r="GN10">
        <v>61000000</v>
      </c>
      <c r="GO10">
        <v>19000000</v>
      </c>
      <c r="GP10">
        <v>11000000</v>
      </c>
      <c r="GR10">
        <v>1000000</v>
      </c>
      <c r="GT10">
        <v>3.13</v>
      </c>
      <c r="GU10">
        <v>9871.7999999999993</v>
      </c>
      <c r="GV10">
        <v>2.4942000000000002</v>
      </c>
      <c r="GW10">
        <v>3.1059999999999999</v>
      </c>
      <c r="GX10">
        <v>9877.6200000000008</v>
      </c>
      <c r="GY10">
        <v>2.4916</v>
      </c>
      <c r="GZ10">
        <v>3.105</v>
      </c>
      <c r="HA10">
        <v>3.1259999999999999</v>
      </c>
      <c r="HB10">
        <v>3.105</v>
      </c>
      <c r="HC10">
        <v>3.1150000000000002</v>
      </c>
      <c r="HD10">
        <v>10000000000</v>
      </c>
      <c r="HF10">
        <v>10000000000</v>
      </c>
      <c r="HG10">
        <v>120000000000</v>
      </c>
      <c r="HH10">
        <v>3500000000</v>
      </c>
      <c r="HL10">
        <v>1000000</v>
      </c>
      <c r="HM10">
        <v>364000000</v>
      </c>
      <c r="HN10">
        <v>79300000</v>
      </c>
      <c r="HO10">
        <v>-1750000</v>
      </c>
      <c r="HQ10">
        <v>20000000</v>
      </c>
    </row>
    <row r="11" spans="1:226" x14ac:dyDescent="0.3">
      <c r="A11" s="2">
        <v>46051</v>
      </c>
      <c r="B11">
        <v>2.855</v>
      </c>
      <c r="C11">
        <v>9992.75</v>
      </c>
      <c r="D11">
        <v>1.5568</v>
      </c>
      <c r="E11">
        <v>2.89</v>
      </c>
      <c r="F11">
        <v>9987.31</v>
      </c>
      <c r="G11">
        <v>1.5538000000000001</v>
      </c>
      <c r="H11">
        <v>2.871</v>
      </c>
      <c r="I11">
        <v>2.9159999999999999</v>
      </c>
      <c r="J11">
        <v>2.871</v>
      </c>
      <c r="K11">
        <v>2.9060000000000001</v>
      </c>
      <c r="L11">
        <v>40000000000</v>
      </c>
      <c r="M11">
        <v>1700000000</v>
      </c>
      <c r="N11">
        <v>40000000000</v>
      </c>
      <c r="O11">
        <v>6000000000</v>
      </c>
      <c r="P11">
        <v>0</v>
      </c>
      <c r="T11">
        <v>788402781</v>
      </c>
      <c r="U11">
        <v>40330000</v>
      </c>
      <c r="V11">
        <v>57060000</v>
      </c>
      <c r="W11">
        <v>65740000</v>
      </c>
      <c r="X11">
        <v>200000</v>
      </c>
      <c r="AA11">
        <v>3.0649999999999999</v>
      </c>
      <c r="AB11">
        <v>9951.6299999999992</v>
      </c>
      <c r="AC11">
        <v>2.7223000000000002</v>
      </c>
      <c r="AD11">
        <v>3.105</v>
      </c>
      <c r="AE11">
        <v>9940.6200000000008</v>
      </c>
      <c r="AF11">
        <v>2.7189999999999999</v>
      </c>
      <c r="AG11">
        <v>3.0649999999999999</v>
      </c>
      <c r="AH11">
        <v>3.1110000000000002</v>
      </c>
      <c r="AI11">
        <v>3.0649999999999999</v>
      </c>
      <c r="AJ11">
        <v>3.105</v>
      </c>
      <c r="AK11">
        <v>47100000000</v>
      </c>
      <c r="AL11">
        <v>400000000</v>
      </c>
      <c r="AM11">
        <v>25000000000</v>
      </c>
      <c r="AN11">
        <v>-35300000000</v>
      </c>
      <c r="AO11">
        <v>50000000000</v>
      </c>
      <c r="AP11">
        <v>5000000000</v>
      </c>
      <c r="AS11">
        <v>10923372</v>
      </c>
      <c r="AT11">
        <v>114500000</v>
      </c>
      <c r="AU11">
        <v>82576000</v>
      </c>
      <c r="AV11">
        <v>121674000</v>
      </c>
      <c r="AW11">
        <v>2000000</v>
      </c>
      <c r="AX11">
        <v>3000000</v>
      </c>
      <c r="AY11">
        <v>500000</v>
      </c>
      <c r="AZ11">
        <v>3.355</v>
      </c>
      <c r="BA11">
        <v>9734.5400000000009</v>
      </c>
      <c r="BB11">
        <v>4.2660999999999998</v>
      </c>
      <c r="BC11">
        <v>3.3969999999999998</v>
      </c>
      <c r="BD11">
        <v>9717.1200000000008</v>
      </c>
      <c r="BE11">
        <v>4.2622</v>
      </c>
      <c r="BF11">
        <v>3.3570000000000002</v>
      </c>
      <c r="BG11">
        <v>3.42</v>
      </c>
      <c r="BH11">
        <v>3.34</v>
      </c>
      <c r="BI11">
        <v>3.3969999999999998</v>
      </c>
      <c r="BJ11">
        <v>-71136460000</v>
      </c>
      <c r="BK11">
        <v>-136460000</v>
      </c>
      <c r="BL11">
        <v>31000000000</v>
      </c>
      <c r="BM11">
        <v>25000000000</v>
      </c>
      <c r="BN11">
        <v>-175000000000</v>
      </c>
      <c r="BO11">
        <v>-5000000000</v>
      </c>
      <c r="BR11">
        <v>218982395.77000001</v>
      </c>
      <c r="BS11">
        <v>199910000</v>
      </c>
      <c r="BT11">
        <v>169101800</v>
      </c>
      <c r="BU11">
        <v>364698200</v>
      </c>
      <c r="BV11">
        <v>7100000</v>
      </c>
      <c r="BW11">
        <v>48700000</v>
      </c>
      <c r="BY11">
        <v>3.5169999999999999</v>
      </c>
      <c r="BZ11">
        <v>9823.17</v>
      </c>
      <c r="CA11">
        <v>8.3169000000000004</v>
      </c>
      <c r="CB11">
        <v>3.5619999999999998</v>
      </c>
      <c r="CC11">
        <v>9786.48</v>
      </c>
      <c r="CD11">
        <v>8.3091000000000008</v>
      </c>
      <c r="CE11">
        <v>3.5459999999999998</v>
      </c>
      <c r="CF11">
        <v>3.58</v>
      </c>
      <c r="CG11">
        <v>3.45</v>
      </c>
      <c r="CH11">
        <v>3.5619999999999998</v>
      </c>
      <c r="CI11">
        <v>51013248000</v>
      </c>
      <c r="CJ11">
        <v>-32999000000</v>
      </c>
      <c r="CK11">
        <v>6000000000</v>
      </c>
      <c r="CL11">
        <v>57000000000</v>
      </c>
      <c r="CM11">
        <v>6000000000</v>
      </c>
      <c r="CN11">
        <v>5000000000</v>
      </c>
      <c r="CO11">
        <v>3000000000</v>
      </c>
      <c r="CQ11">
        <v>74067089.700000003</v>
      </c>
      <c r="CR11">
        <v>80430000</v>
      </c>
      <c r="CS11">
        <v>105600000</v>
      </c>
      <c r="CT11">
        <v>26150000</v>
      </c>
      <c r="CU11">
        <v>3600000</v>
      </c>
      <c r="CV11">
        <v>6700000</v>
      </c>
      <c r="CX11">
        <v>3.53</v>
      </c>
      <c r="CY11">
        <v>9009.5400000000009</v>
      </c>
      <c r="CZ11">
        <v>14.5471</v>
      </c>
      <c r="DA11">
        <v>3.5720000000000001</v>
      </c>
      <c r="DB11">
        <v>8954.7099999999991</v>
      </c>
      <c r="DC11">
        <v>14.5237</v>
      </c>
      <c r="DD11">
        <v>3.5609999999999999</v>
      </c>
      <c r="DE11">
        <v>3.597</v>
      </c>
      <c r="DF11">
        <v>3.5569999999999999</v>
      </c>
      <c r="DG11">
        <v>3.57</v>
      </c>
      <c r="DH11">
        <v>22589980000</v>
      </c>
      <c r="DI11">
        <v>1589980000</v>
      </c>
      <c r="DJ11">
        <v>-8000000000</v>
      </c>
      <c r="DK11">
        <v>19000000000</v>
      </c>
      <c r="DL11">
        <v>2000000000</v>
      </c>
      <c r="DP11">
        <v>92444329</v>
      </c>
      <c r="DQ11">
        <v>23100000</v>
      </c>
      <c r="DR11">
        <v>47030000</v>
      </c>
      <c r="DS11">
        <v>21150000</v>
      </c>
      <c r="DT11">
        <v>-2100000</v>
      </c>
      <c r="DW11">
        <v>3.4369999999999998</v>
      </c>
      <c r="DX11">
        <v>8600.59</v>
      </c>
      <c r="DY11">
        <v>19.338999999999999</v>
      </c>
      <c r="DZ11">
        <v>3.4870000000000001</v>
      </c>
      <c r="EA11">
        <v>8517.9699999999993</v>
      </c>
      <c r="EB11">
        <v>19.276499999999999</v>
      </c>
      <c r="EC11">
        <v>3.44</v>
      </c>
      <c r="ED11">
        <v>3.5</v>
      </c>
      <c r="EE11">
        <v>3.3069999999999999</v>
      </c>
      <c r="EF11">
        <v>3.4849999999999999</v>
      </c>
      <c r="EG11">
        <v>32300001000</v>
      </c>
      <c r="EH11">
        <v>-15700000000</v>
      </c>
      <c r="EI11">
        <v>0</v>
      </c>
      <c r="EJ11">
        <v>28900000000</v>
      </c>
      <c r="EK11">
        <v>33100000000</v>
      </c>
      <c r="EL11">
        <v>10000000000</v>
      </c>
      <c r="EM11">
        <v>-3000000000</v>
      </c>
      <c r="EO11">
        <v>833172954.10000002</v>
      </c>
      <c r="EP11">
        <v>209210000</v>
      </c>
      <c r="EQ11">
        <v>732398000</v>
      </c>
      <c r="ER11">
        <v>227395000</v>
      </c>
      <c r="ES11">
        <v>15650000</v>
      </c>
      <c r="ET11">
        <v>-1600000</v>
      </c>
      <c r="EV11">
        <v>3.3170000000000002</v>
      </c>
      <c r="EW11">
        <v>8742.73</v>
      </c>
      <c r="EX11">
        <v>24.708300000000001</v>
      </c>
      <c r="EY11">
        <v>3.367</v>
      </c>
      <c r="EZ11">
        <v>8635.74</v>
      </c>
      <c r="FA11">
        <v>24.553599999999999</v>
      </c>
      <c r="FB11">
        <v>3.367</v>
      </c>
      <c r="FC11">
        <v>3.39</v>
      </c>
      <c r="FD11">
        <v>3.3003399999999998</v>
      </c>
      <c r="FE11">
        <v>3.39</v>
      </c>
      <c r="FF11">
        <v>-11992000000</v>
      </c>
      <c r="FG11">
        <v>-5992000000</v>
      </c>
      <c r="FH11">
        <v>-6000000000</v>
      </c>
      <c r="FI11">
        <v>146000000000</v>
      </c>
      <c r="FJ11">
        <v>1000000000</v>
      </c>
      <c r="FN11">
        <v>177632094</v>
      </c>
      <c r="FO11">
        <v>-39250000</v>
      </c>
      <c r="FP11">
        <v>243700000</v>
      </c>
      <c r="FQ11">
        <v>-6600000</v>
      </c>
      <c r="FS11">
        <v>-14800000</v>
      </c>
      <c r="FU11">
        <v>2.9420000000000002</v>
      </c>
      <c r="FV11">
        <v>10002.16</v>
      </c>
      <c r="FW11">
        <v>1.8637999999999999</v>
      </c>
      <c r="FX11">
        <v>2.98</v>
      </c>
      <c r="FY11">
        <v>9994.9500000000007</v>
      </c>
      <c r="FZ11">
        <v>1.8608</v>
      </c>
      <c r="GA11">
        <v>2.9449999999999998</v>
      </c>
      <c r="GB11">
        <v>3</v>
      </c>
      <c r="GC11">
        <v>2.94</v>
      </c>
      <c r="GD11">
        <v>2.99</v>
      </c>
      <c r="GE11">
        <v>100000000000</v>
      </c>
      <c r="GG11">
        <v>100000000000</v>
      </c>
      <c r="GH11">
        <v>20000000000</v>
      </c>
      <c r="GI11">
        <v>-20000000000</v>
      </c>
      <c r="GK11">
        <v>10000000000</v>
      </c>
      <c r="GN11">
        <v>71000000</v>
      </c>
      <c r="GO11">
        <v>21000000</v>
      </c>
      <c r="GP11">
        <v>9000000</v>
      </c>
      <c r="GR11">
        <v>1000000</v>
      </c>
      <c r="GT11">
        <v>3.1059999999999999</v>
      </c>
      <c r="GU11">
        <v>9878.4699999999993</v>
      </c>
      <c r="GV11">
        <v>2.4916</v>
      </c>
      <c r="GW11">
        <v>3.1349999999999998</v>
      </c>
      <c r="GX11">
        <v>9871.43</v>
      </c>
      <c r="GY11">
        <v>2.4885999999999999</v>
      </c>
      <c r="GZ11">
        <v>3.125</v>
      </c>
      <c r="HA11">
        <v>3.1520000000000001</v>
      </c>
      <c r="HB11">
        <v>3.125</v>
      </c>
      <c r="HC11">
        <v>3.1349999999999998</v>
      </c>
      <c r="HD11">
        <v>10000000000</v>
      </c>
      <c r="HF11">
        <v>10000000000</v>
      </c>
      <c r="HG11">
        <v>120000000000</v>
      </c>
      <c r="HH11">
        <v>3500000000</v>
      </c>
      <c r="HL11">
        <v>1000000</v>
      </c>
      <c r="HM11">
        <v>365000000</v>
      </c>
      <c r="HN11">
        <v>79300000</v>
      </c>
      <c r="HO11">
        <v>-1750000</v>
      </c>
      <c r="HQ11">
        <v>20000000</v>
      </c>
    </row>
    <row r="12" spans="1:226" x14ac:dyDescent="0.3">
      <c r="A12" s="2">
        <v>46052</v>
      </c>
      <c r="B12">
        <v>2.89</v>
      </c>
      <c r="C12">
        <v>9988.1</v>
      </c>
      <c r="D12">
        <v>1.5538000000000001</v>
      </c>
      <c r="E12">
        <v>2.919</v>
      </c>
      <c r="F12">
        <v>9983.6</v>
      </c>
      <c r="G12">
        <v>1.5508999999999999</v>
      </c>
      <c r="H12">
        <v>2.919</v>
      </c>
      <c r="I12">
        <v>2.9503400000000002</v>
      </c>
      <c r="J12">
        <v>2.91</v>
      </c>
      <c r="K12">
        <v>2.9220000000000002</v>
      </c>
      <c r="L12">
        <v>20403740000</v>
      </c>
      <c r="M12">
        <v>2403740000</v>
      </c>
      <c r="N12">
        <v>21000000000</v>
      </c>
      <c r="O12">
        <v>1000000000</v>
      </c>
      <c r="P12">
        <v>-4000000000</v>
      </c>
      <c r="T12">
        <v>788643155</v>
      </c>
      <c r="U12">
        <v>42430000</v>
      </c>
      <c r="V12">
        <v>57160000</v>
      </c>
      <c r="W12">
        <v>65340000</v>
      </c>
      <c r="X12">
        <v>200000</v>
      </c>
      <c r="AA12">
        <v>3.105</v>
      </c>
      <c r="AB12">
        <v>9941.4599999999991</v>
      </c>
      <c r="AC12">
        <v>2.7189999999999999</v>
      </c>
      <c r="AD12">
        <v>3.1419999999999999</v>
      </c>
      <c r="AE12">
        <v>9931.65</v>
      </c>
      <c r="AF12">
        <v>2.7157</v>
      </c>
      <c r="AG12">
        <v>3.105</v>
      </c>
      <c r="AH12">
        <v>3.1469999999999998</v>
      </c>
      <c r="AI12">
        <v>3.105</v>
      </c>
      <c r="AJ12">
        <v>3.105</v>
      </c>
      <c r="AK12">
        <v>83070620000</v>
      </c>
      <c r="AL12">
        <v>27070620000</v>
      </c>
      <c r="AM12">
        <v>40000000000</v>
      </c>
      <c r="AN12">
        <v>4000000000</v>
      </c>
      <c r="AO12">
        <v>12000000000</v>
      </c>
      <c r="AP12">
        <v>5000000000</v>
      </c>
      <c r="AS12">
        <v>13630434</v>
      </c>
      <c r="AT12">
        <v>118500000</v>
      </c>
      <c r="AU12">
        <v>82976000</v>
      </c>
      <c r="AV12">
        <v>122874000</v>
      </c>
      <c r="AW12">
        <v>2000000</v>
      </c>
      <c r="AX12">
        <v>3000000</v>
      </c>
      <c r="AY12">
        <v>500000</v>
      </c>
      <c r="AZ12">
        <v>3.3969999999999998</v>
      </c>
      <c r="BA12">
        <v>9718.0300000000007</v>
      </c>
      <c r="BB12">
        <v>4.2622</v>
      </c>
      <c r="BC12">
        <v>3.4420000000000002</v>
      </c>
      <c r="BD12">
        <v>9699.42</v>
      </c>
      <c r="BE12">
        <v>4.2582000000000004</v>
      </c>
      <c r="BF12">
        <v>3.3969999999999998</v>
      </c>
      <c r="BG12">
        <v>3.4449999999999998</v>
      </c>
      <c r="BH12">
        <v>3.38</v>
      </c>
      <c r="BI12">
        <v>3.4249999999999998</v>
      </c>
      <c r="BJ12">
        <v>191375940000</v>
      </c>
      <c r="BK12">
        <v>225875940000</v>
      </c>
      <c r="BL12">
        <v>61000000000</v>
      </c>
      <c r="BM12">
        <v>-6000000000</v>
      </c>
      <c r="BN12">
        <v>-92500000000</v>
      </c>
      <c r="BO12">
        <v>-5000000000</v>
      </c>
      <c r="BR12">
        <v>241569989.77000001</v>
      </c>
      <c r="BS12">
        <v>206010000</v>
      </c>
      <c r="BT12">
        <v>168501800</v>
      </c>
      <c r="BU12">
        <v>355448200</v>
      </c>
      <c r="BV12">
        <v>7100000</v>
      </c>
      <c r="BW12">
        <v>48700000</v>
      </c>
      <c r="BY12">
        <v>3.5619999999999998</v>
      </c>
      <c r="BZ12">
        <v>9787.43</v>
      </c>
      <c r="CA12">
        <v>8.3091000000000008</v>
      </c>
      <c r="CB12">
        <v>3.6110000000000002</v>
      </c>
      <c r="CC12">
        <v>9747.41</v>
      </c>
      <c r="CD12">
        <v>8.3009000000000004</v>
      </c>
      <c r="CE12">
        <v>3.5630000000000002</v>
      </c>
      <c r="CF12">
        <v>3.6120000000000001</v>
      </c>
      <c r="CG12">
        <v>3.54</v>
      </c>
      <c r="CH12">
        <v>3.60914</v>
      </c>
      <c r="CI12">
        <v>-37415120000</v>
      </c>
      <c r="CJ12">
        <v>-110415120000</v>
      </c>
      <c r="CK12">
        <v>4000000000</v>
      </c>
      <c r="CL12">
        <v>54000000000</v>
      </c>
      <c r="CM12">
        <v>-6500000000</v>
      </c>
      <c r="CN12">
        <v>5000000000</v>
      </c>
      <c r="CO12">
        <v>1000000000</v>
      </c>
      <c r="CQ12">
        <v>63025577.700000003</v>
      </c>
      <c r="CR12">
        <v>80830000</v>
      </c>
      <c r="CS12">
        <v>111000000</v>
      </c>
      <c r="CT12">
        <v>25500000</v>
      </c>
      <c r="CU12">
        <v>3600000</v>
      </c>
      <c r="CV12">
        <v>6800000</v>
      </c>
      <c r="CX12">
        <v>3.5720000000000001</v>
      </c>
      <c r="CY12">
        <v>8955.59</v>
      </c>
      <c r="CZ12">
        <v>14.5237</v>
      </c>
      <c r="DA12">
        <v>3.597</v>
      </c>
      <c r="DB12">
        <v>8923.15</v>
      </c>
      <c r="DC12">
        <v>14.508599999999999</v>
      </c>
      <c r="DD12">
        <v>3.5720000000000001</v>
      </c>
      <c r="DE12">
        <v>3.60372</v>
      </c>
      <c r="DF12">
        <v>3.57</v>
      </c>
      <c r="DG12">
        <v>3.601</v>
      </c>
      <c r="DH12">
        <v>69957480000</v>
      </c>
      <c r="DI12">
        <v>55957480000</v>
      </c>
      <c r="DJ12">
        <v>11000000000</v>
      </c>
      <c r="DK12">
        <v>6200000000</v>
      </c>
      <c r="DL12">
        <v>-3800000000</v>
      </c>
      <c r="DP12">
        <v>98040077</v>
      </c>
      <c r="DQ12">
        <v>24200000</v>
      </c>
      <c r="DR12">
        <v>47650000</v>
      </c>
      <c r="DS12">
        <v>20770000</v>
      </c>
      <c r="DT12">
        <v>-2100000</v>
      </c>
      <c r="DW12">
        <v>3.4870000000000001</v>
      </c>
      <c r="DX12">
        <v>8518.7900000000009</v>
      </c>
      <c r="DY12">
        <v>19.276499999999999</v>
      </c>
      <c r="DZ12">
        <v>3.5249999999999999</v>
      </c>
      <c r="EA12">
        <v>8455.61</v>
      </c>
      <c r="EB12">
        <v>19.227499999999999</v>
      </c>
      <c r="EC12">
        <v>3.4390000000000001</v>
      </c>
      <c r="ED12">
        <v>3.593</v>
      </c>
      <c r="EE12">
        <v>3.3570000000000002</v>
      </c>
      <c r="EF12">
        <v>3.5230000000000001</v>
      </c>
      <c r="EG12">
        <v>61242406000</v>
      </c>
      <c r="EH12">
        <v>124751710000</v>
      </c>
      <c r="EI12">
        <v>7000000000</v>
      </c>
      <c r="EJ12">
        <v>31800000000</v>
      </c>
      <c r="EK12">
        <v>-103800000000</v>
      </c>
      <c r="EL12">
        <v>10000000000</v>
      </c>
      <c r="EM12">
        <v>-3000000000</v>
      </c>
      <c r="EO12">
        <v>845648125.10000002</v>
      </c>
      <c r="EP12">
        <v>209910000</v>
      </c>
      <c r="EQ12">
        <v>735578000</v>
      </c>
      <c r="ER12">
        <v>217015000</v>
      </c>
      <c r="ES12">
        <v>15650000</v>
      </c>
      <c r="ET12">
        <v>-1600000</v>
      </c>
      <c r="EV12">
        <v>3.367</v>
      </c>
      <c r="EW12">
        <v>8636.5400000000009</v>
      </c>
      <c r="EX12">
        <v>24.553599999999999</v>
      </c>
      <c r="EY12">
        <v>3.4049999999999998</v>
      </c>
      <c r="EZ12">
        <v>8555.14</v>
      </c>
      <c r="FA12">
        <v>24.433599999999998</v>
      </c>
      <c r="FB12">
        <v>3.375</v>
      </c>
      <c r="FC12">
        <v>3.4</v>
      </c>
      <c r="FD12">
        <v>3.3201100000000001</v>
      </c>
      <c r="FE12">
        <v>3.36</v>
      </c>
      <c r="FF12">
        <v>7143370000</v>
      </c>
      <c r="FG12">
        <v>7143370000</v>
      </c>
      <c r="FH12">
        <v>0</v>
      </c>
      <c r="FI12">
        <v>146000000000</v>
      </c>
      <c r="FJ12">
        <v>1000000000</v>
      </c>
      <c r="FN12">
        <v>178346431</v>
      </c>
      <c r="FO12">
        <v>-39250000</v>
      </c>
      <c r="FP12">
        <v>243700000</v>
      </c>
      <c r="FQ12">
        <v>-6600000</v>
      </c>
      <c r="FS12">
        <v>-14800000</v>
      </c>
      <c r="FU12">
        <v>2.98</v>
      </c>
      <c r="FV12">
        <v>9995.7800000000007</v>
      </c>
      <c r="FW12">
        <v>1.8608</v>
      </c>
      <c r="FX12">
        <v>3.0059999999999998</v>
      </c>
      <c r="FY12">
        <v>9991.01</v>
      </c>
      <c r="FZ12">
        <v>1.8579000000000001</v>
      </c>
      <c r="GA12">
        <v>2.9820000000000002</v>
      </c>
      <c r="GB12">
        <v>3.0129999999999999</v>
      </c>
      <c r="GC12">
        <v>2.9750000000000001</v>
      </c>
      <c r="GD12">
        <v>3.01</v>
      </c>
      <c r="GE12">
        <v>40000000000</v>
      </c>
      <c r="GG12">
        <v>40000000000</v>
      </c>
      <c r="GH12">
        <v>20000000000</v>
      </c>
      <c r="GI12">
        <v>-20000000000</v>
      </c>
      <c r="GK12">
        <v>10000000000</v>
      </c>
      <c r="GN12">
        <v>75000000</v>
      </c>
      <c r="GO12">
        <v>21000000</v>
      </c>
      <c r="GP12">
        <v>9000000</v>
      </c>
      <c r="GR12">
        <v>1000000</v>
      </c>
      <c r="GT12">
        <v>3.1349999999999998</v>
      </c>
      <c r="GU12">
        <v>9872.2900000000009</v>
      </c>
      <c r="GV12">
        <v>2.4885999999999999</v>
      </c>
      <c r="GW12">
        <v>3.169</v>
      </c>
      <c r="GX12">
        <v>9863.94</v>
      </c>
      <c r="GY12">
        <v>2.4855999999999998</v>
      </c>
      <c r="GZ12">
        <v>3.165</v>
      </c>
      <c r="HA12">
        <v>3.1669999999999998</v>
      </c>
      <c r="HB12">
        <v>3.165</v>
      </c>
      <c r="HC12">
        <v>3.165</v>
      </c>
      <c r="HD12">
        <v>10000000000</v>
      </c>
      <c r="HF12">
        <v>10000000000</v>
      </c>
      <c r="HG12">
        <v>120000000000</v>
      </c>
      <c r="HH12">
        <v>3500000000</v>
      </c>
      <c r="HL12">
        <v>1000000</v>
      </c>
      <c r="HM12">
        <v>366000000</v>
      </c>
      <c r="HN12">
        <v>79300000</v>
      </c>
      <c r="HO12">
        <v>-1750000</v>
      </c>
      <c r="HQ12">
        <v>20000000</v>
      </c>
    </row>
    <row r="13" spans="1:226" x14ac:dyDescent="0.3">
      <c r="A13" s="2">
        <v>46053</v>
      </c>
      <c r="B13">
        <v>2.919</v>
      </c>
      <c r="C13">
        <v>9984.41</v>
      </c>
      <c r="D13">
        <v>1.5508999999999999</v>
      </c>
      <c r="E13">
        <v>2.919</v>
      </c>
      <c r="F13">
        <v>9983.6</v>
      </c>
      <c r="G13">
        <v>1.5508999999999999</v>
      </c>
      <c r="H13">
        <v>2.919</v>
      </c>
      <c r="I13">
        <v>2.9503400000000002</v>
      </c>
      <c r="J13">
        <v>2.91</v>
      </c>
      <c r="K13">
        <v>2.9220000000000002</v>
      </c>
      <c r="L13">
        <v>20403740000</v>
      </c>
      <c r="M13">
        <v>2403740000</v>
      </c>
      <c r="N13">
        <v>21000000000</v>
      </c>
      <c r="O13">
        <v>1000000000</v>
      </c>
      <c r="P13">
        <v>-4000000000</v>
      </c>
      <c r="T13">
        <v>788643155</v>
      </c>
      <c r="U13">
        <v>42430000</v>
      </c>
      <c r="V13">
        <v>57160000</v>
      </c>
      <c r="W13">
        <v>65340000</v>
      </c>
      <c r="X13">
        <v>200000</v>
      </c>
      <c r="AA13">
        <v>3.1419999999999999</v>
      </c>
      <c r="AB13">
        <v>9932.49</v>
      </c>
      <c r="AC13">
        <v>2.7157</v>
      </c>
      <c r="AD13">
        <v>3.1419999999999999</v>
      </c>
      <c r="AE13">
        <v>9931.65</v>
      </c>
      <c r="AF13">
        <v>2.7157</v>
      </c>
      <c r="AG13">
        <v>3.105</v>
      </c>
      <c r="AH13">
        <v>3.1469999999999998</v>
      </c>
      <c r="AI13">
        <v>3.105</v>
      </c>
      <c r="AJ13">
        <v>3.105</v>
      </c>
      <c r="AK13">
        <v>83070620000</v>
      </c>
      <c r="AL13">
        <v>27070620000</v>
      </c>
      <c r="AM13">
        <v>40000000000</v>
      </c>
      <c r="AN13">
        <v>4000000000</v>
      </c>
      <c r="AO13">
        <v>12000000000</v>
      </c>
      <c r="AP13">
        <v>5000000000</v>
      </c>
      <c r="AS13">
        <v>13630434</v>
      </c>
      <c r="AT13">
        <v>118500000</v>
      </c>
      <c r="AU13">
        <v>82976000</v>
      </c>
      <c r="AV13">
        <v>122874000</v>
      </c>
      <c r="AW13">
        <v>2000000</v>
      </c>
      <c r="AX13">
        <v>3000000</v>
      </c>
      <c r="AY13">
        <v>500000</v>
      </c>
      <c r="AZ13">
        <v>3.4420000000000002</v>
      </c>
      <c r="BA13">
        <v>9700.33</v>
      </c>
      <c r="BB13">
        <v>4.2582000000000004</v>
      </c>
      <c r="BC13">
        <v>3.4420000000000002</v>
      </c>
      <c r="BD13">
        <v>9699.42</v>
      </c>
      <c r="BE13">
        <v>4.2582000000000004</v>
      </c>
      <c r="BF13">
        <v>3.3969999999999998</v>
      </c>
      <c r="BG13">
        <v>3.4449999999999998</v>
      </c>
      <c r="BH13">
        <v>3.38</v>
      </c>
      <c r="BI13">
        <v>3.4249999999999998</v>
      </c>
      <c r="BJ13">
        <v>191375940000</v>
      </c>
      <c r="BK13">
        <v>225875940000</v>
      </c>
      <c r="BL13">
        <v>61000000000</v>
      </c>
      <c r="BM13">
        <v>-6000000000</v>
      </c>
      <c r="BN13">
        <v>-92500000000</v>
      </c>
      <c r="BO13">
        <v>-5000000000</v>
      </c>
      <c r="BR13">
        <v>241569989.77000001</v>
      </c>
      <c r="BS13">
        <v>206010000</v>
      </c>
      <c r="BT13">
        <v>168501800</v>
      </c>
      <c r="BU13">
        <v>355448200</v>
      </c>
      <c r="BV13">
        <v>7100000</v>
      </c>
      <c r="BW13">
        <v>48700000</v>
      </c>
      <c r="BY13">
        <v>3.6110000000000002</v>
      </c>
      <c r="BZ13">
        <v>9748.36</v>
      </c>
      <c r="CA13">
        <v>8.3009000000000004</v>
      </c>
      <c r="CB13">
        <v>3.6110000000000002</v>
      </c>
      <c r="CC13">
        <v>9747.41</v>
      </c>
      <c r="CD13">
        <v>8.3009000000000004</v>
      </c>
      <c r="CE13">
        <v>3.5630000000000002</v>
      </c>
      <c r="CF13">
        <v>3.6120000000000001</v>
      </c>
      <c r="CG13">
        <v>3.54</v>
      </c>
      <c r="CH13">
        <v>3.60914</v>
      </c>
      <c r="CI13">
        <v>-37415120000</v>
      </c>
      <c r="CJ13">
        <v>-110415120000</v>
      </c>
      <c r="CK13">
        <v>4000000000</v>
      </c>
      <c r="CL13">
        <v>54000000000</v>
      </c>
      <c r="CM13">
        <v>-6500000000</v>
      </c>
      <c r="CN13">
        <v>5000000000</v>
      </c>
      <c r="CO13">
        <v>1000000000</v>
      </c>
      <c r="CQ13">
        <v>63025577.700000003</v>
      </c>
      <c r="CR13">
        <v>80830000</v>
      </c>
      <c r="CS13">
        <v>111000000</v>
      </c>
      <c r="CT13">
        <v>25500000</v>
      </c>
      <c r="CU13">
        <v>3600000</v>
      </c>
      <c r="CV13">
        <v>6800000</v>
      </c>
      <c r="CX13">
        <v>3.597</v>
      </c>
      <c r="CY13">
        <v>8924.0400000000009</v>
      </c>
      <c r="CZ13">
        <v>14.508599999999999</v>
      </c>
      <c r="DA13">
        <v>3.597</v>
      </c>
      <c r="DB13">
        <v>8923.15</v>
      </c>
      <c r="DC13">
        <v>14.508599999999999</v>
      </c>
      <c r="DD13">
        <v>3.5720000000000001</v>
      </c>
      <c r="DE13">
        <v>3.60372</v>
      </c>
      <c r="DF13">
        <v>3.57</v>
      </c>
      <c r="DG13">
        <v>3.601</v>
      </c>
      <c r="DH13">
        <v>69957480000</v>
      </c>
      <c r="DI13">
        <v>55957480000</v>
      </c>
      <c r="DJ13">
        <v>11000000000</v>
      </c>
      <c r="DK13">
        <v>6200000000</v>
      </c>
      <c r="DL13">
        <v>-3800000000</v>
      </c>
      <c r="DP13">
        <v>98040077</v>
      </c>
      <c r="DQ13">
        <v>24200000</v>
      </c>
      <c r="DR13">
        <v>47650000</v>
      </c>
      <c r="DS13">
        <v>20770000</v>
      </c>
      <c r="DT13">
        <v>-2100000</v>
      </c>
      <c r="DW13">
        <v>3.5249999999999999</v>
      </c>
      <c r="DX13">
        <v>8456.43</v>
      </c>
      <c r="DY13">
        <v>19.227499999999999</v>
      </c>
      <c r="DZ13">
        <v>3.5249999999999999</v>
      </c>
      <c r="EA13">
        <v>8455.61</v>
      </c>
      <c r="EB13">
        <v>19.227499999999999</v>
      </c>
      <c r="EC13">
        <v>3.4390000000000001</v>
      </c>
      <c r="ED13">
        <v>3.593</v>
      </c>
      <c r="EE13">
        <v>3.3570000000000002</v>
      </c>
      <c r="EF13">
        <v>3.5230000000000001</v>
      </c>
      <c r="EG13">
        <v>61242406000</v>
      </c>
      <c r="EH13">
        <v>124751710000</v>
      </c>
      <c r="EI13">
        <v>7000000000</v>
      </c>
      <c r="EJ13">
        <v>31800000000</v>
      </c>
      <c r="EK13">
        <v>-103800000000</v>
      </c>
      <c r="EL13">
        <v>10000000000</v>
      </c>
      <c r="EM13">
        <v>-3000000000</v>
      </c>
      <c r="EO13">
        <v>845648125.10000002</v>
      </c>
      <c r="EP13">
        <v>209910000</v>
      </c>
      <c r="EQ13">
        <v>735578000</v>
      </c>
      <c r="ER13">
        <v>217015000</v>
      </c>
      <c r="ES13">
        <v>15650000</v>
      </c>
      <c r="ET13">
        <v>-1600000</v>
      </c>
      <c r="EV13">
        <v>3.4049999999999998</v>
      </c>
      <c r="EW13">
        <v>8555.94</v>
      </c>
      <c r="EX13">
        <v>24.433599999999998</v>
      </c>
      <c r="EY13">
        <v>3.4049999999999998</v>
      </c>
      <c r="EZ13">
        <v>8555.14</v>
      </c>
      <c r="FA13">
        <v>24.433599999999998</v>
      </c>
      <c r="FB13">
        <v>3.375</v>
      </c>
      <c r="FC13">
        <v>3.4</v>
      </c>
      <c r="FD13">
        <v>3.3201100000000001</v>
      </c>
      <c r="FE13">
        <v>3.36</v>
      </c>
      <c r="FF13">
        <v>7143370000</v>
      </c>
      <c r="FG13">
        <v>7143370000</v>
      </c>
      <c r="FH13">
        <v>0</v>
      </c>
      <c r="FI13">
        <v>146000000000</v>
      </c>
      <c r="FJ13">
        <v>1000000000</v>
      </c>
      <c r="FN13">
        <v>178346431</v>
      </c>
      <c r="FO13">
        <v>-39250000</v>
      </c>
      <c r="FP13">
        <v>243700000</v>
      </c>
      <c r="FQ13">
        <v>-6600000</v>
      </c>
      <c r="FS13">
        <v>-14800000</v>
      </c>
      <c r="FU13">
        <v>3.0059999999999998</v>
      </c>
      <c r="FV13">
        <v>9991.84</v>
      </c>
      <c r="FW13">
        <v>1.8579000000000001</v>
      </c>
      <c r="FX13">
        <v>3.0059999999999998</v>
      </c>
      <c r="FY13">
        <v>9991.01</v>
      </c>
      <c r="FZ13">
        <v>1.8579000000000001</v>
      </c>
      <c r="GA13">
        <v>2.9820000000000002</v>
      </c>
      <c r="GB13">
        <v>3.0129999999999999</v>
      </c>
      <c r="GC13">
        <v>2.9750000000000001</v>
      </c>
      <c r="GD13">
        <v>3.01</v>
      </c>
      <c r="GE13">
        <v>40000000000</v>
      </c>
      <c r="GG13">
        <v>40000000000</v>
      </c>
      <c r="GH13">
        <v>20000000000</v>
      </c>
      <c r="GI13">
        <v>-20000000000</v>
      </c>
      <c r="GK13">
        <v>10000000000</v>
      </c>
      <c r="GN13">
        <v>75000000</v>
      </c>
      <c r="GO13">
        <v>21000000</v>
      </c>
      <c r="GP13">
        <v>9000000</v>
      </c>
      <c r="GR13">
        <v>1000000</v>
      </c>
      <c r="GT13">
        <v>3.169</v>
      </c>
      <c r="GU13">
        <v>9864.81</v>
      </c>
      <c r="GV13">
        <v>2.4855999999999998</v>
      </c>
      <c r="GW13">
        <v>3.169</v>
      </c>
      <c r="GX13">
        <v>9863.94</v>
      </c>
      <c r="GY13">
        <v>2.4855999999999998</v>
      </c>
      <c r="GZ13">
        <v>3.165</v>
      </c>
      <c r="HA13">
        <v>3.1669999999999998</v>
      </c>
      <c r="HB13">
        <v>3.165</v>
      </c>
      <c r="HC13">
        <v>3.165</v>
      </c>
      <c r="HD13">
        <v>10000000000</v>
      </c>
      <c r="HF13">
        <v>10000000000</v>
      </c>
      <c r="HG13">
        <v>120000000000</v>
      </c>
      <c r="HH13">
        <v>3500000000</v>
      </c>
      <c r="HL13">
        <v>1000000</v>
      </c>
      <c r="HM13">
        <v>366000000</v>
      </c>
      <c r="HN13">
        <v>79300000</v>
      </c>
      <c r="HO13">
        <v>-1750000</v>
      </c>
      <c r="HQ13">
        <v>20000000</v>
      </c>
    </row>
    <row r="14" spans="1:226" x14ac:dyDescent="0.3">
      <c r="A14" s="2">
        <v>46054</v>
      </c>
      <c r="B14">
        <v>2.919</v>
      </c>
      <c r="C14">
        <v>9985.2099999999991</v>
      </c>
      <c r="D14">
        <v>1.5490999999999999</v>
      </c>
      <c r="E14">
        <v>2.919</v>
      </c>
      <c r="F14">
        <v>9983.6</v>
      </c>
      <c r="G14">
        <v>1.5508999999999999</v>
      </c>
      <c r="H14">
        <v>2.919</v>
      </c>
      <c r="I14">
        <v>2.9503400000000002</v>
      </c>
      <c r="J14">
        <v>2.91</v>
      </c>
      <c r="K14">
        <v>2.9220000000000002</v>
      </c>
      <c r="L14">
        <v>20403740000</v>
      </c>
      <c r="M14">
        <v>2403740000</v>
      </c>
      <c r="N14">
        <v>21000000000</v>
      </c>
      <c r="O14">
        <v>1000000000</v>
      </c>
      <c r="P14">
        <v>-4000000000</v>
      </c>
      <c r="T14">
        <v>788643155</v>
      </c>
      <c r="U14">
        <v>42430000</v>
      </c>
      <c r="V14">
        <v>57160000</v>
      </c>
      <c r="W14">
        <v>65340000</v>
      </c>
      <c r="X14">
        <v>200000</v>
      </c>
      <c r="AA14">
        <v>3.1419999999999999</v>
      </c>
      <c r="AB14">
        <v>9933.34</v>
      </c>
      <c r="AC14">
        <v>2.7139000000000002</v>
      </c>
      <c r="AD14">
        <v>3.1419999999999999</v>
      </c>
      <c r="AE14">
        <v>9931.65</v>
      </c>
      <c r="AF14">
        <v>2.7157</v>
      </c>
      <c r="AG14">
        <v>3.105</v>
      </c>
      <c r="AH14">
        <v>3.1469999999999998</v>
      </c>
      <c r="AI14">
        <v>3.105</v>
      </c>
      <c r="AJ14">
        <v>3.105</v>
      </c>
      <c r="AK14">
        <v>83070620000</v>
      </c>
      <c r="AL14">
        <v>27070620000</v>
      </c>
      <c r="AM14">
        <v>40000000000</v>
      </c>
      <c r="AN14">
        <v>4000000000</v>
      </c>
      <c r="AO14">
        <v>12000000000</v>
      </c>
      <c r="AP14">
        <v>5000000000</v>
      </c>
      <c r="AS14">
        <v>13630434</v>
      </c>
      <c r="AT14">
        <v>118500000</v>
      </c>
      <c r="AU14">
        <v>82976000</v>
      </c>
      <c r="AV14">
        <v>122874000</v>
      </c>
      <c r="AW14">
        <v>2000000</v>
      </c>
      <c r="AX14">
        <v>3000000</v>
      </c>
      <c r="AY14">
        <v>500000</v>
      </c>
      <c r="AZ14">
        <v>3.4420000000000002</v>
      </c>
      <c r="BA14">
        <v>9701.25</v>
      </c>
      <c r="BB14">
        <v>4.2564000000000002</v>
      </c>
      <c r="BC14">
        <v>3.4420000000000002</v>
      </c>
      <c r="BD14">
        <v>9699.42</v>
      </c>
      <c r="BE14">
        <v>4.2582000000000004</v>
      </c>
      <c r="BF14">
        <v>3.3969999999999998</v>
      </c>
      <c r="BG14">
        <v>3.4449999999999998</v>
      </c>
      <c r="BH14">
        <v>3.38</v>
      </c>
      <c r="BI14">
        <v>3.4249999999999998</v>
      </c>
      <c r="BJ14">
        <v>191375940000</v>
      </c>
      <c r="BK14">
        <v>225875940000</v>
      </c>
      <c r="BL14">
        <v>61000000000</v>
      </c>
      <c r="BM14">
        <v>-6000000000</v>
      </c>
      <c r="BN14">
        <v>-92500000000</v>
      </c>
      <c r="BO14">
        <v>-5000000000</v>
      </c>
      <c r="BR14">
        <v>241569989.77000001</v>
      </c>
      <c r="BS14">
        <v>206010000</v>
      </c>
      <c r="BT14">
        <v>168501800</v>
      </c>
      <c r="BU14">
        <v>355448200</v>
      </c>
      <c r="BV14">
        <v>7100000</v>
      </c>
      <c r="BW14">
        <v>48700000</v>
      </c>
      <c r="BY14">
        <v>3.6110000000000002</v>
      </c>
      <c r="BZ14">
        <v>9749.32</v>
      </c>
      <c r="CA14">
        <v>8.2990999999999993</v>
      </c>
      <c r="CB14">
        <v>3.6110000000000002</v>
      </c>
      <c r="CC14">
        <v>9747.41</v>
      </c>
      <c r="CD14">
        <v>8.3009000000000004</v>
      </c>
      <c r="CE14">
        <v>3.5630000000000002</v>
      </c>
      <c r="CF14">
        <v>3.6120000000000001</v>
      </c>
      <c r="CG14">
        <v>3.54</v>
      </c>
      <c r="CH14">
        <v>3.60914</v>
      </c>
      <c r="CI14">
        <v>-37415120000</v>
      </c>
      <c r="CJ14">
        <v>-110415120000</v>
      </c>
      <c r="CK14">
        <v>4000000000</v>
      </c>
      <c r="CL14">
        <v>54000000000</v>
      </c>
      <c r="CM14">
        <v>-6500000000</v>
      </c>
      <c r="CN14">
        <v>5000000000</v>
      </c>
      <c r="CO14">
        <v>1000000000</v>
      </c>
      <c r="CQ14">
        <v>63025577.700000003</v>
      </c>
      <c r="CR14">
        <v>80830000</v>
      </c>
      <c r="CS14">
        <v>111000000</v>
      </c>
      <c r="CT14">
        <v>25500000</v>
      </c>
      <c r="CU14">
        <v>3600000</v>
      </c>
      <c r="CV14">
        <v>6800000</v>
      </c>
      <c r="CX14">
        <v>3.597</v>
      </c>
      <c r="CY14">
        <v>8924.92</v>
      </c>
      <c r="CZ14">
        <v>14.5068</v>
      </c>
      <c r="DA14">
        <v>3.597</v>
      </c>
      <c r="DB14">
        <v>8923.15</v>
      </c>
      <c r="DC14">
        <v>14.508599999999999</v>
      </c>
      <c r="DD14">
        <v>3.5720000000000001</v>
      </c>
      <c r="DE14">
        <v>3.60372</v>
      </c>
      <c r="DF14">
        <v>3.57</v>
      </c>
      <c r="DG14">
        <v>3.601</v>
      </c>
      <c r="DH14">
        <v>69957480000</v>
      </c>
      <c r="DI14">
        <v>55957480000</v>
      </c>
      <c r="DJ14">
        <v>11000000000</v>
      </c>
      <c r="DK14">
        <v>6200000000</v>
      </c>
      <c r="DL14">
        <v>-3800000000</v>
      </c>
      <c r="DP14">
        <v>98040077</v>
      </c>
      <c r="DQ14">
        <v>24200000</v>
      </c>
      <c r="DR14">
        <v>47650000</v>
      </c>
      <c r="DS14">
        <v>20770000</v>
      </c>
      <c r="DT14">
        <v>-2100000</v>
      </c>
      <c r="DW14">
        <v>3.5249999999999999</v>
      </c>
      <c r="DX14">
        <v>8457.25</v>
      </c>
      <c r="DY14">
        <v>19.2257</v>
      </c>
      <c r="DZ14">
        <v>3.5249999999999999</v>
      </c>
      <c r="EA14">
        <v>8455.61</v>
      </c>
      <c r="EB14">
        <v>19.227499999999999</v>
      </c>
      <c r="EC14">
        <v>3.4390000000000001</v>
      </c>
      <c r="ED14">
        <v>3.593</v>
      </c>
      <c r="EE14">
        <v>3.3570000000000002</v>
      </c>
      <c r="EF14">
        <v>3.5230000000000001</v>
      </c>
      <c r="EG14">
        <v>61242406000</v>
      </c>
      <c r="EH14">
        <v>124751710000</v>
      </c>
      <c r="EI14">
        <v>7000000000</v>
      </c>
      <c r="EJ14">
        <v>31800000000</v>
      </c>
      <c r="EK14">
        <v>-103800000000</v>
      </c>
      <c r="EL14">
        <v>10000000000</v>
      </c>
      <c r="EM14">
        <v>-3000000000</v>
      </c>
      <c r="EO14">
        <v>845648125.10000002</v>
      </c>
      <c r="EP14">
        <v>209910000</v>
      </c>
      <c r="EQ14">
        <v>735578000</v>
      </c>
      <c r="ER14">
        <v>217015000</v>
      </c>
      <c r="ES14">
        <v>15650000</v>
      </c>
      <c r="ET14">
        <v>-1600000</v>
      </c>
      <c r="EV14">
        <v>3.4049999999999998</v>
      </c>
      <c r="EW14">
        <v>8556.74</v>
      </c>
      <c r="EX14">
        <v>24.431799999999999</v>
      </c>
      <c r="EY14">
        <v>3.4049999999999998</v>
      </c>
      <c r="EZ14">
        <v>8555.14</v>
      </c>
      <c r="FA14">
        <v>24.433599999999998</v>
      </c>
      <c r="FB14">
        <v>3.375</v>
      </c>
      <c r="FC14">
        <v>3.4</v>
      </c>
      <c r="FD14">
        <v>3.3201100000000001</v>
      </c>
      <c r="FE14">
        <v>3.36</v>
      </c>
      <c r="FF14">
        <v>7143370000</v>
      </c>
      <c r="FG14">
        <v>7143370000</v>
      </c>
      <c r="FH14">
        <v>0</v>
      </c>
      <c r="FI14">
        <v>146000000000</v>
      </c>
      <c r="FJ14">
        <v>1000000000</v>
      </c>
      <c r="FN14">
        <v>178346431</v>
      </c>
      <c r="FO14">
        <v>-39250000</v>
      </c>
      <c r="FP14">
        <v>243700000</v>
      </c>
      <c r="FQ14">
        <v>-6600000</v>
      </c>
      <c r="FS14">
        <v>-14800000</v>
      </c>
      <c r="FU14">
        <v>3.0059999999999998</v>
      </c>
      <c r="FV14">
        <v>9992.67</v>
      </c>
      <c r="FW14">
        <v>1.8561000000000001</v>
      </c>
      <c r="FX14">
        <v>3.0059999999999998</v>
      </c>
      <c r="FY14">
        <v>9991.01</v>
      </c>
      <c r="FZ14">
        <v>1.8579000000000001</v>
      </c>
      <c r="GA14">
        <v>2.9820000000000002</v>
      </c>
      <c r="GB14">
        <v>3.0129999999999999</v>
      </c>
      <c r="GC14">
        <v>2.9750000000000001</v>
      </c>
      <c r="GD14">
        <v>3.01</v>
      </c>
      <c r="GE14">
        <v>40000000000</v>
      </c>
      <c r="GG14">
        <v>40000000000</v>
      </c>
      <c r="GH14">
        <v>20000000000</v>
      </c>
      <c r="GI14">
        <v>-20000000000</v>
      </c>
      <c r="GK14">
        <v>10000000000</v>
      </c>
      <c r="GN14">
        <v>75000000</v>
      </c>
      <c r="GO14">
        <v>21000000</v>
      </c>
      <c r="GP14">
        <v>9000000</v>
      </c>
      <c r="GR14">
        <v>1000000</v>
      </c>
      <c r="GT14">
        <v>3.169</v>
      </c>
      <c r="GU14">
        <v>9865.67</v>
      </c>
      <c r="GV14">
        <v>2.4838</v>
      </c>
      <c r="GW14">
        <v>3.169</v>
      </c>
      <c r="GX14">
        <v>9863.94</v>
      </c>
      <c r="GY14">
        <v>2.4855999999999998</v>
      </c>
      <c r="GZ14">
        <v>3.165</v>
      </c>
      <c r="HA14">
        <v>3.1669999999999998</v>
      </c>
      <c r="HB14">
        <v>3.165</v>
      </c>
      <c r="HC14">
        <v>3.165</v>
      </c>
      <c r="HD14">
        <v>10000000000</v>
      </c>
      <c r="HF14">
        <v>10000000000</v>
      </c>
      <c r="HG14">
        <v>120000000000</v>
      </c>
      <c r="HH14">
        <v>3500000000</v>
      </c>
      <c r="HL14">
        <v>1000000</v>
      </c>
      <c r="HM14">
        <v>366000000</v>
      </c>
      <c r="HN14">
        <v>79300000</v>
      </c>
      <c r="HO14">
        <v>-1750000</v>
      </c>
      <c r="HQ14">
        <v>20000000</v>
      </c>
    </row>
    <row r="15" spans="1:226" x14ac:dyDescent="0.3">
      <c r="A15" s="2">
        <v>46055</v>
      </c>
      <c r="B15">
        <v>2.919</v>
      </c>
      <c r="C15">
        <v>9986.01</v>
      </c>
      <c r="D15">
        <v>1.5472999999999999</v>
      </c>
      <c r="E15">
        <v>2.9350000000000001</v>
      </c>
      <c r="F15">
        <v>9983.5499999999993</v>
      </c>
      <c r="G15">
        <v>1.5426</v>
      </c>
      <c r="H15">
        <v>2.9820000000000002</v>
      </c>
      <c r="I15">
        <v>2.9953400000000001</v>
      </c>
      <c r="J15">
        <v>2.9350000000000001</v>
      </c>
      <c r="K15">
        <v>2.9350000000000001</v>
      </c>
      <c r="L15">
        <v>326000000000</v>
      </c>
      <c r="M15">
        <v>255000000000</v>
      </c>
      <c r="N15">
        <v>0</v>
      </c>
      <c r="O15">
        <v>9000000000</v>
      </c>
      <c r="P15">
        <v>59000000000</v>
      </c>
      <c r="T15">
        <v>814143155</v>
      </c>
      <c r="U15">
        <v>42430000</v>
      </c>
      <c r="V15">
        <v>58060000</v>
      </c>
      <c r="W15">
        <v>71240000</v>
      </c>
      <c r="X15">
        <v>200000</v>
      </c>
      <c r="AA15">
        <v>3.1419999999999999</v>
      </c>
      <c r="AB15">
        <v>9934.19</v>
      </c>
      <c r="AC15">
        <v>2.7121</v>
      </c>
      <c r="AD15">
        <v>3.1549999999999998</v>
      </c>
      <c r="AE15">
        <v>9930.69</v>
      </c>
      <c r="AF15">
        <v>2.7073999999999998</v>
      </c>
      <c r="AG15">
        <v>3.1419999999999999</v>
      </c>
      <c r="AH15">
        <v>3.19</v>
      </c>
      <c r="AI15">
        <v>3.14</v>
      </c>
      <c r="AJ15">
        <v>3.141</v>
      </c>
      <c r="AK15">
        <v>123500000000</v>
      </c>
      <c r="AL15">
        <v>4500000000</v>
      </c>
      <c r="AM15">
        <v>12000000000</v>
      </c>
      <c r="AN15">
        <v>5000000000</v>
      </c>
      <c r="AO15">
        <v>85000000000</v>
      </c>
      <c r="AP15">
        <v>5000000000</v>
      </c>
      <c r="AS15">
        <v>14080434</v>
      </c>
      <c r="AT15">
        <v>119700000</v>
      </c>
      <c r="AU15">
        <v>83476000</v>
      </c>
      <c r="AV15">
        <v>131374000</v>
      </c>
      <c r="AW15">
        <v>2000000</v>
      </c>
      <c r="AX15">
        <v>3000000</v>
      </c>
      <c r="AY15">
        <v>500000</v>
      </c>
      <c r="AZ15">
        <v>3.4420000000000002</v>
      </c>
      <c r="BA15">
        <v>9702.17</v>
      </c>
      <c r="BB15">
        <v>4.2545999999999999</v>
      </c>
      <c r="BC15">
        <v>3.45</v>
      </c>
      <c r="BD15">
        <v>9698.8700000000008</v>
      </c>
      <c r="BE15">
        <v>4.2497999999999996</v>
      </c>
      <c r="BF15">
        <v>3.42</v>
      </c>
      <c r="BG15">
        <v>3.4940000000000002</v>
      </c>
      <c r="BH15">
        <v>3.42</v>
      </c>
      <c r="BI15">
        <v>3.45</v>
      </c>
      <c r="BJ15">
        <v>54250000000</v>
      </c>
      <c r="BK15">
        <v>1250000000</v>
      </c>
      <c r="BL15">
        <v>35000000000</v>
      </c>
      <c r="BM15">
        <v>10000000000</v>
      </c>
      <c r="BN15">
        <v>3000000000</v>
      </c>
      <c r="BO15">
        <v>-5000000000</v>
      </c>
      <c r="BR15">
        <v>241694989.77000001</v>
      </c>
      <c r="BS15">
        <v>209510000</v>
      </c>
      <c r="BT15">
        <v>169501800</v>
      </c>
      <c r="BU15">
        <v>355748200</v>
      </c>
      <c r="BV15">
        <v>7100000</v>
      </c>
      <c r="BW15">
        <v>48700000</v>
      </c>
      <c r="BY15">
        <v>3.6110000000000002</v>
      </c>
      <c r="BZ15">
        <v>9750.27</v>
      </c>
      <c r="CA15">
        <v>8.2972999999999999</v>
      </c>
      <c r="CB15">
        <v>3.605</v>
      </c>
      <c r="CC15">
        <v>9755.4</v>
      </c>
      <c r="CD15">
        <v>8.2934999999999999</v>
      </c>
      <c r="CE15">
        <v>3.65</v>
      </c>
      <c r="CF15">
        <v>3.6586400000000001</v>
      </c>
      <c r="CG15">
        <v>3.4809999999999999</v>
      </c>
      <c r="CH15">
        <v>3.6030000000000002</v>
      </c>
      <c r="CI15">
        <v>-8022419000</v>
      </c>
      <c r="CJ15">
        <v>-78128720000</v>
      </c>
      <c r="CK15">
        <v>-1000000000</v>
      </c>
      <c r="CL15">
        <v>39000000000</v>
      </c>
      <c r="CM15">
        <v>2000000000</v>
      </c>
      <c r="CN15">
        <v>5000000000</v>
      </c>
      <c r="CO15">
        <v>4000000000</v>
      </c>
      <c r="CQ15">
        <v>55212705.700000003</v>
      </c>
      <c r="CR15">
        <v>80730000</v>
      </c>
      <c r="CS15">
        <v>114900000</v>
      </c>
      <c r="CT15">
        <v>25700000</v>
      </c>
      <c r="CU15">
        <v>3600000</v>
      </c>
      <c r="CV15">
        <v>7200000</v>
      </c>
      <c r="CX15">
        <v>3.597</v>
      </c>
      <c r="CY15">
        <v>8925.7999999999993</v>
      </c>
      <c r="CZ15">
        <v>14.505000000000001</v>
      </c>
      <c r="DA15">
        <v>3.61</v>
      </c>
      <c r="DB15">
        <v>8909</v>
      </c>
      <c r="DC15">
        <v>14.4941</v>
      </c>
      <c r="DD15">
        <v>3.597</v>
      </c>
      <c r="DE15">
        <v>3.6429999999999998</v>
      </c>
      <c r="DF15">
        <v>3.597</v>
      </c>
      <c r="DG15">
        <v>3.61</v>
      </c>
      <c r="DH15">
        <v>-38500000000</v>
      </c>
      <c r="DI15">
        <v>-38500000000</v>
      </c>
      <c r="DJ15">
        <v>-8000000000</v>
      </c>
      <c r="DK15">
        <v>8000000000</v>
      </c>
      <c r="DL15">
        <v>-3800000000</v>
      </c>
      <c r="DP15">
        <v>94190077</v>
      </c>
      <c r="DQ15">
        <v>23400000</v>
      </c>
      <c r="DR15">
        <v>48450000</v>
      </c>
      <c r="DS15">
        <v>20770000</v>
      </c>
      <c r="DT15">
        <v>-2100000</v>
      </c>
      <c r="DW15">
        <v>3.5249999999999999</v>
      </c>
      <c r="DX15">
        <v>8458.07</v>
      </c>
      <c r="DY15">
        <v>19.2239</v>
      </c>
      <c r="DZ15">
        <v>3.5259999999999998</v>
      </c>
      <c r="EA15">
        <v>8456.99</v>
      </c>
      <c r="EB15">
        <v>19.218599999999999</v>
      </c>
      <c r="EC15">
        <v>3.5089999999999999</v>
      </c>
      <c r="ED15">
        <v>3.5680000000000001</v>
      </c>
      <c r="EE15">
        <v>3.395</v>
      </c>
      <c r="EF15">
        <v>3.5550000000000002</v>
      </c>
      <c r="EG15">
        <v>113894533000</v>
      </c>
      <c r="EH15">
        <v>33150000000</v>
      </c>
      <c r="EI15">
        <v>-6000000000</v>
      </c>
      <c r="EJ15">
        <v>18000000000</v>
      </c>
      <c r="EK15">
        <v>70800000000</v>
      </c>
      <c r="EL15">
        <v>10000000000</v>
      </c>
      <c r="EM15">
        <v>-3000000000</v>
      </c>
      <c r="EO15">
        <v>848963125.10000002</v>
      </c>
      <c r="EP15">
        <v>209310000</v>
      </c>
      <c r="EQ15">
        <v>737378000</v>
      </c>
      <c r="ER15">
        <v>224095000</v>
      </c>
      <c r="ES15">
        <v>15650000</v>
      </c>
      <c r="ET15">
        <v>-1600000</v>
      </c>
      <c r="EV15">
        <v>3.4049999999999998</v>
      </c>
      <c r="EW15">
        <v>8557.5400000000009</v>
      </c>
      <c r="EX15">
        <v>24.43</v>
      </c>
      <c r="EY15">
        <v>3.4060000000000001</v>
      </c>
      <c r="EZ15">
        <v>8556.15</v>
      </c>
      <c r="FA15">
        <v>24.423500000000001</v>
      </c>
      <c r="FB15">
        <v>3.375</v>
      </c>
      <c r="FC15">
        <v>3.4</v>
      </c>
      <c r="FD15">
        <v>3.375</v>
      </c>
      <c r="FE15">
        <v>3.4</v>
      </c>
      <c r="FF15">
        <v>340000000</v>
      </c>
      <c r="FG15">
        <v>340000000</v>
      </c>
      <c r="FH15">
        <v>0</v>
      </c>
      <c r="FI15">
        <v>146000000000</v>
      </c>
      <c r="FJ15">
        <v>1000000000</v>
      </c>
      <c r="FN15">
        <v>178380431</v>
      </c>
      <c r="FO15">
        <v>-39250000</v>
      </c>
      <c r="FP15">
        <v>243700000</v>
      </c>
      <c r="FQ15">
        <v>-6600000</v>
      </c>
      <c r="FS15">
        <v>-14800000</v>
      </c>
      <c r="FU15">
        <v>3.0059999999999998</v>
      </c>
      <c r="FV15">
        <v>9993.5</v>
      </c>
      <c r="FW15">
        <v>1.8543000000000001</v>
      </c>
      <c r="FX15">
        <v>3.0150000000000001</v>
      </c>
      <c r="FY15">
        <v>9991.9</v>
      </c>
      <c r="FZ15">
        <v>1.8496999999999999</v>
      </c>
      <c r="GA15">
        <v>3.01</v>
      </c>
      <c r="GB15">
        <v>3.0150000000000001</v>
      </c>
      <c r="GC15">
        <v>3.01</v>
      </c>
      <c r="GD15">
        <v>3.0150000000000001</v>
      </c>
      <c r="GE15">
        <v>40000000000</v>
      </c>
      <c r="GG15">
        <v>40000000000</v>
      </c>
      <c r="GH15">
        <v>20000000000</v>
      </c>
      <c r="GI15">
        <v>-20000000000</v>
      </c>
      <c r="GK15">
        <v>10000000000</v>
      </c>
      <c r="GN15">
        <v>75000000</v>
      </c>
      <c r="GO15">
        <v>21000000</v>
      </c>
      <c r="GP15">
        <v>9000000</v>
      </c>
      <c r="GR15">
        <v>1000000</v>
      </c>
      <c r="GT15">
        <v>3.169</v>
      </c>
      <c r="GU15">
        <v>9866.5400000000009</v>
      </c>
      <c r="GV15">
        <v>2.4820000000000002</v>
      </c>
      <c r="GW15">
        <v>3.181</v>
      </c>
      <c r="GX15">
        <v>9863.52</v>
      </c>
      <c r="GY15">
        <v>2.4773000000000001</v>
      </c>
      <c r="GZ15">
        <v>3.21</v>
      </c>
      <c r="HA15">
        <v>3.21</v>
      </c>
      <c r="HB15">
        <v>3.17</v>
      </c>
      <c r="HC15">
        <v>3.17</v>
      </c>
      <c r="HD15">
        <v>10000000000</v>
      </c>
      <c r="HF15">
        <v>10000000000</v>
      </c>
      <c r="HG15">
        <v>120000000000</v>
      </c>
      <c r="HH15">
        <v>3500000000</v>
      </c>
      <c r="HL15">
        <v>1000000</v>
      </c>
      <c r="HM15">
        <v>367000000</v>
      </c>
      <c r="HN15">
        <v>79300000</v>
      </c>
      <c r="HO15">
        <v>-1750000</v>
      </c>
      <c r="HQ15">
        <v>20000000</v>
      </c>
    </row>
    <row r="16" spans="1:226" x14ac:dyDescent="0.3">
      <c r="A16" s="2">
        <v>46056</v>
      </c>
      <c r="B16">
        <v>2.9350000000000001</v>
      </c>
      <c r="C16">
        <v>9984.36</v>
      </c>
      <c r="D16">
        <v>1.5426</v>
      </c>
      <c r="E16">
        <v>2.972</v>
      </c>
      <c r="F16">
        <v>9978.66</v>
      </c>
      <c r="G16">
        <v>1.5396000000000001</v>
      </c>
      <c r="H16">
        <v>2.992</v>
      </c>
      <c r="I16">
        <v>3.004</v>
      </c>
      <c r="J16">
        <v>2.97</v>
      </c>
      <c r="K16">
        <v>2.9751500000000002</v>
      </c>
      <c r="L16">
        <v>157500000000</v>
      </c>
      <c r="M16">
        <v>145500000000</v>
      </c>
      <c r="N16">
        <v>10000000000</v>
      </c>
      <c r="O16">
        <v>-3000000000</v>
      </c>
      <c r="P16">
        <v>5000000000</v>
      </c>
      <c r="T16">
        <v>828693155</v>
      </c>
      <c r="U16">
        <v>43430000</v>
      </c>
      <c r="V16">
        <v>57760000</v>
      </c>
      <c r="W16">
        <v>71740000</v>
      </c>
      <c r="X16">
        <v>200000</v>
      </c>
      <c r="AA16">
        <v>3.1549999999999998</v>
      </c>
      <c r="AB16">
        <v>9931.5400000000009</v>
      </c>
      <c r="AC16">
        <v>2.7073999999999998</v>
      </c>
      <c r="AD16">
        <v>3.19</v>
      </c>
      <c r="AE16">
        <v>9922.14</v>
      </c>
      <c r="AF16">
        <v>2.7042000000000002</v>
      </c>
      <c r="AG16">
        <v>3.1749999999999998</v>
      </c>
      <c r="AH16">
        <v>3.2010000000000001</v>
      </c>
      <c r="AI16">
        <v>3.1749999999999998</v>
      </c>
      <c r="AJ16">
        <v>3.2</v>
      </c>
      <c r="AK16">
        <v>292000000000</v>
      </c>
      <c r="AL16">
        <v>4500000000</v>
      </c>
      <c r="AM16">
        <v>107000000000</v>
      </c>
      <c r="AN16">
        <v>135000000000</v>
      </c>
      <c r="AO16">
        <v>36000000000</v>
      </c>
      <c r="AP16">
        <v>5000000000</v>
      </c>
      <c r="AS16">
        <v>14080434</v>
      </c>
      <c r="AT16">
        <v>130400000</v>
      </c>
      <c r="AU16">
        <v>96976000</v>
      </c>
      <c r="AV16">
        <v>134974000</v>
      </c>
      <c r="AW16">
        <v>2000000</v>
      </c>
      <c r="AX16">
        <v>3000000</v>
      </c>
      <c r="AY16">
        <v>500000</v>
      </c>
      <c r="AZ16">
        <v>3.45</v>
      </c>
      <c r="BA16">
        <v>9699.7999999999993</v>
      </c>
      <c r="BB16">
        <v>4.2497999999999996</v>
      </c>
      <c r="BC16">
        <v>3.492</v>
      </c>
      <c r="BD16">
        <v>9682.51</v>
      </c>
      <c r="BE16">
        <v>4.2458999999999998</v>
      </c>
      <c r="BF16">
        <v>3.45</v>
      </c>
      <c r="BG16">
        <v>3.504</v>
      </c>
      <c r="BH16">
        <v>3.44</v>
      </c>
      <c r="BI16">
        <v>3.4649999999999999</v>
      </c>
      <c r="BJ16">
        <v>262365000000</v>
      </c>
      <c r="BK16">
        <v>131365000000</v>
      </c>
      <c r="BL16">
        <v>40000000000</v>
      </c>
      <c r="BM16">
        <v>27000000000</v>
      </c>
      <c r="BN16">
        <v>28000000000</v>
      </c>
      <c r="BO16">
        <v>-5000000000</v>
      </c>
      <c r="BR16">
        <v>254831489.77000001</v>
      </c>
      <c r="BS16">
        <v>213510000</v>
      </c>
      <c r="BT16">
        <v>172201800</v>
      </c>
      <c r="BU16">
        <v>358548200</v>
      </c>
      <c r="BV16">
        <v>7100000</v>
      </c>
      <c r="BW16">
        <v>48700000</v>
      </c>
      <c r="BY16">
        <v>3.605</v>
      </c>
      <c r="BZ16">
        <v>9756.35</v>
      </c>
      <c r="CA16">
        <v>8.2934999999999999</v>
      </c>
      <c r="CB16">
        <v>3.6619999999999999</v>
      </c>
      <c r="CC16">
        <v>9710.36</v>
      </c>
      <c r="CD16">
        <v>8.2843999999999998</v>
      </c>
      <c r="CE16">
        <v>3.601</v>
      </c>
      <c r="CF16">
        <v>3.67</v>
      </c>
      <c r="CG16">
        <v>3.4750000000000001</v>
      </c>
      <c r="CH16">
        <v>3.6619999999999999</v>
      </c>
      <c r="CI16">
        <v>158835139000</v>
      </c>
      <c r="CJ16">
        <v>3733740000</v>
      </c>
      <c r="CK16">
        <v>26000000000</v>
      </c>
      <c r="CL16">
        <v>120000000000</v>
      </c>
      <c r="CM16">
        <v>-2000000000</v>
      </c>
      <c r="CN16">
        <v>5000000000</v>
      </c>
      <c r="CO16">
        <v>6000000000</v>
      </c>
      <c r="CQ16">
        <v>55586079.700000003</v>
      </c>
      <c r="CR16">
        <v>83330000</v>
      </c>
      <c r="CS16">
        <v>126900000</v>
      </c>
      <c r="CT16">
        <v>25500000</v>
      </c>
      <c r="CU16">
        <v>3600000</v>
      </c>
      <c r="CV16">
        <v>7800000</v>
      </c>
      <c r="CX16">
        <v>3.61</v>
      </c>
      <c r="CY16">
        <v>8909.8799999999992</v>
      </c>
      <c r="CZ16">
        <v>14.4941</v>
      </c>
      <c r="DA16">
        <v>3.6749999999999998</v>
      </c>
      <c r="DB16">
        <v>8826.4500000000007</v>
      </c>
      <c r="DC16">
        <v>14.459199999999999</v>
      </c>
      <c r="DD16">
        <v>3.61</v>
      </c>
      <c r="DE16">
        <v>3.69</v>
      </c>
      <c r="DF16">
        <v>3.5569999999999999</v>
      </c>
      <c r="DG16">
        <v>3.6720000000000002</v>
      </c>
      <c r="DH16">
        <v>14278000000</v>
      </c>
      <c r="DI16">
        <v>1200000000</v>
      </c>
      <c r="DJ16">
        <v>-9000000000</v>
      </c>
      <c r="DK16">
        <v>22000000000</v>
      </c>
      <c r="DL16">
        <v>-3800000000</v>
      </c>
      <c r="DP16">
        <v>94310077</v>
      </c>
      <c r="DQ16">
        <v>22500000</v>
      </c>
      <c r="DR16">
        <v>50650000</v>
      </c>
      <c r="DS16">
        <v>20770000</v>
      </c>
      <c r="DT16">
        <v>-2100000</v>
      </c>
      <c r="DW16">
        <v>3.5259999999999998</v>
      </c>
      <c r="DX16">
        <v>8457.81</v>
      </c>
      <c r="DY16">
        <v>19.218599999999999</v>
      </c>
      <c r="DZ16">
        <v>3.59</v>
      </c>
      <c r="EA16">
        <v>8355.18</v>
      </c>
      <c r="EB16">
        <v>19.139500000000002</v>
      </c>
      <c r="EC16">
        <v>3.5539999999999998</v>
      </c>
      <c r="ED16">
        <v>3.6459999999999999</v>
      </c>
      <c r="EE16">
        <v>3.3959999999999999</v>
      </c>
      <c r="EF16">
        <v>3.58</v>
      </c>
      <c r="EG16">
        <v>1557767773000</v>
      </c>
      <c r="EH16">
        <v>832513000000</v>
      </c>
      <c r="EI16">
        <v>165000000000</v>
      </c>
      <c r="EJ16">
        <v>521400000000</v>
      </c>
      <c r="EK16">
        <v>19600000000</v>
      </c>
      <c r="EL16">
        <v>10000000000</v>
      </c>
      <c r="EM16">
        <v>-3000000000</v>
      </c>
      <c r="EO16">
        <v>932214425.10000002</v>
      </c>
      <c r="EP16">
        <v>225810000</v>
      </c>
      <c r="EQ16">
        <v>789518000</v>
      </c>
      <c r="ER16">
        <v>226055000</v>
      </c>
      <c r="ES16">
        <v>15650000</v>
      </c>
      <c r="ET16">
        <v>-1600000</v>
      </c>
      <c r="EV16">
        <v>3.4060000000000001</v>
      </c>
      <c r="EW16">
        <v>8556.9599999999991</v>
      </c>
      <c r="EX16">
        <v>24.423500000000001</v>
      </c>
      <c r="EY16">
        <v>3.47</v>
      </c>
      <c r="EZ16">
        <v>8425.48</v>
      </c>
      <c r="FA16">
        <v>24.228200000000001</v>
      </c>
      <c r="FB16">
        <v>3.4</v>
      </c>
      <c r="FC16">
        <v>3.4</v>
      </c>
      <c r="FD16">
        <v>3.4</v>
      </c>
      <c r="FE16">
        <v>3.4</v>
      </c>
      <c r="FF16">
        <v>215000000</v>
      </c>
      <c r="FG16">
        <v>215000000</v>
      </c>
      <c r="FH16">
        <v>0</v>
      </c>
      <c r="FI16">
        <v>146000000000</v>
      </c>
      <c r="FJ16">
        <v>1000000000</v>
      </c>
      <c r="FN16">
        <v>178401931</v>
      </c>
      <c r="FO16">
        <v>-39250000</v>
      </c>
      <c r="FP16">
        <v>243700000</v>
      </c>
      <c r="FQ16">
        <v>-6600000</v>
      </c>
      <c r="FS16">
        <v>-14800000</v>
      </c>
      <c r="FU16">
        <v>3.0150000000000001</v>
      </c>
      <c r="FV16">
        <v>9992.73</v>
      </c>
      <c r="FW16">
        <v>1.8496999999999999</v>
      </c>
      <c r="FX16">
        <v>3.0630000000000002</v>
      </c>
      <c r="FY16">
        <v>9983.86</v>
      </c>
      <c r="FZ16">
        <v>1.8467</v>
      </c>
      <c r="GA16">
        <v>3.06</v>
      </c>
      <c r="GB16">
        <v>3.0649999999999999</v>
      </c>
      <c r="GC16">
        <v>3.0150000000000001</v>
      </c>
      <c r="GD16">
        <v>3.06</v>
      </c>
      <c r="GE16">
        <v>250000000000</v>
      </c>
      <c r="GG16">
        <v>50000000000</v>
      </c>
      <c r="GH16">
        <v>185000000000</v>
      </c>
      <c r="GI16">
        <v>15000000000</v>
      </c>
      <c r="GK16">
        <v>10000000000</v>
      </c>
      <c r="GN16">
        <v>80000000</v>
      </c>
      <c r="GO16">
        <v>39500000</v>
      </c>
      <c r="GP16">
        <v>10500000</v>
      </c>
      <c r="GR16">
        <v>1000000</v>
      </c>
      <c r="GT16">
        <v>3.181</v>
      </c>
      <c r="GU16">
        <v>9864.39</v>
      </c>
      <c r="GV16">
        <v>2.4773000000000001</v>
      </c>
      <c r="GW16">
        <v>3.2160000000000002</v>
      </c>
      <c r="GX16">
        <v>9855.85</v>
      </c>
      <c r="GY16">
        <v>2.4742999999999999</v>
      </c>
      <c r="GZ16">
        <v>3.2120000000000002</v>
      </c>
      <c r="HA16">
        <v>3.214</v>
      </c>
      <c r="HB16">
        <v>3.2120000000000002</v>
      </c>
      <c r="HC16">
        <v>3.2120000000000002</v>
      </c>
      <c r="HD16">
        <v>10000000000</v>
      </c>
      <c r="HF16">
        <v>10000000000</v>
      </c>
      <c r="HG16">
        <v>120000000000</v>
      </c>
      <c r="HH16">
        <v>3500000000</v>
      </c>
      <c r="HL16">
        <v>1000000</v>
      </c>
      <c r="HM16">
        <v>368000000</v>
      </c>
      <c r="HN16">
        <v>79300000</v>
      </c>
      <c r="HO16">
        <v>-1750000</v>
      </c>
      <c r="HQ16">
        <v>20000000</v>
      </c>
    </row>
    <row r="17" spans="1:225" x14ac:dyDescent="0.3">
      <c r="A17" s="2">
        <v>46057</v>
      </c>
      <c r="B17">
        <v>2.972</v>
      </c>
      <c r="C17">
        <v>9979.48</v>
      </c>
      <c r="D17">
        <v>1.5396000000000001</v>
      </c>
      <c r="E17">
        <v>2.9929999999999999</v>
      </c>
      <c r="F17">
        <v>9976.25</v>
      </c>
      <c r="G17">
        <v>1.5367</v>
      </c>
      <c r="H17">
        <v>2.9929999999999999</v>
      </c>
      <c r="I17">
        <v>3.0190000000000001</v>
      </c>
      <c r="J17">
        <v>2.9870000000000001</v>
      </c>
      <c r="K17">
        <v>2.992</v>
      </c>
      <c r="L17">
        <v>21000000000</v>
      </c>
      <c r="M17">
        <v>10000000000</v>
      </c>
      <c r="N17">
        <v>20000000000</v>
      </c>
      <c r="O17">
        <v>-3000000000</v>
      </c>
      <c r="P17">
        <v>-15000000000</v>
      </c>
      <c r="T17">
        <v>829693155</v>
      </c>
      <c r="U17">
        <v>45430000</v>
      </c>
      <c r="V17">
        <v>57760000</v>
      </c>
      <c r="W17">
        <v>70240000</v>
      </c>
      <c r="X17">
        <v>200000</v>
      </c>
      <c r="AA17">
        <v>3.19</v>
      </c>
      <c r="AB17">
        <v>9923</v>
      </c>
      <c r="AC17">
        <v>2.7042000000000002</v>
      </c>
      <c r="AD17">
        <v>3.222</v>
      </c>
      <c r="AE17">
        <v>9914.41</v>
      </c>
      <c r="AF17">
        <v>2.7010000000000001</v>
      </c>
      <c r="AG17">
        <v>3.19</v>
      </c>
      <c r="AH17">
        <v>3.2250000000000001</v>
      </c>
      <c r="AI17">
        <v>3.1850000000000001</v>
      </c>
      <c r="AJ17">
        <v>3.2149999999999999</v>
      </c>
      <c r="AK17">
        <v>113300000000</v>
      </c>
      <c r="AL17">
        <v>300000000</v>
      </c>
      <c r="AM17">
        <v>75000000000</v>
      </c>
      <c r="AN17">
        <v>5600000000</v>
      </c>
      <c r="AO17">
        <v>-14600000000</v>
      </c>
      <c r="AP17">
        <v>22000000000</v>
      </c>
      <c r="AS17">
        <v>14110434</v>
      </c>
      <c r="AT17">
        <v>137900000</v>
      </c>
      <c r="AU17">
        <v>97536000</v>
      </c>
      <c r="AV17">
        <v>133514000</v>
      </c>
      <c r="AW17">
        <v>4200000</v>
      </c>
      <c r="AX17">
        <v>3000000</v>
      </c>
      <c r="AY17">
        <v>500000</v>
      </c>
      <c r="AZ17">
        <v>3.492</v>
      </c>
      <c r="BA17">
        <v>9683.44</v>
      </c>
      <c r="BB17">
        <v>4.2458999999999998</v>
      </c>
      <c r="BC17">
        <v>3.5350000000000001</v>
      </c>
      <c r="BD17">
        <v>9665.7800000000007</v>
      </c>
      <c r="BE17">
        <v>4.242</v>
      </c>
      <c r="BF17">
        <v>3.4969999999999999</v>
      </c>
      <c r="BG17">
        <v>3.544</v>
      </c>
      <c r="BH17">
        <v>3.4449999999999998</v>
      </c>
      <c r="BI17">
        <v>3.5209999999999999</v>
      </c>
      <c r="BJ17">
        <v>61198440000</v>
      </c>
      <c r="BK17">
        <v>13198440000</v>
      </c>
      <c r="BL17">
        <v>27000000000</v>
      </c>
      <c r="BM17">
        <v>67200000000</v>
      </c>
      <c r="BN17">
        <v>-42200000000</v>
      </c>
      <c r="BO17">
        <v>-5000000000</v>
      </c>
      <c r="BR17">
        <v>256151333.77000001</v>
      </c>
      <c r="BS17">
        <v>216210000</v>
      </c>
      <c r="BT17">
        <v>178921800</v>
      </c>
      <c r="BU17">
        <v>354328200</v>
      </c>
      <c r="BV17">
        <v>7100000</v>
      </c>
      <c r="BW17">
        <v>48700000</v>
      </c>
      <c r="BY17">
        <v>3.6619999999999999</v>
      </c>
      <c r="BZ17">
        <v>9711.33</v>
      </c>
      <c r="CA17">
        <v>8.2843999999999998</v>
      </c>
      <c r="CB17">
        <v>3.72</v>
      </c>
      <c r="CC17">
        <v>9664.7999999999993</v>
      </c>
      <c r="CD17">
        <v>8.2751999999999999</v>
      </c>
      <c r="CE17">
        <v>3.6619999999999999</v>
      </c>
      <c r="CF17">
        <v>3.7250000000000001</v>
      </c>
      <c r="CG17">
        <v>3.532</v>
      </c>
      <c r="CH17">
        <v>3.6619999999999999</v>
      </c>
      <c r="CI17">
        <v>81730374000</v>
      </c>
      <c r="CJ17">
        <v>21710000000</v>
      </c>
      <c r="CK17">
        <v>6000000000</v>
      </c>
      <c r="CL17">
        <v>35000000000</v>
      </c>
      <c r="CM17">
        <v>1000000000</v>
      </c>
      <c r="CN17">
        <v>5000000000</v>
      </c>
      <c r="CO17">
        <v>1000000000</v>
      </c>
      <c r="CQ17">
        <v>57757079.700000003</v>
      </c>
      <c r="CR17">
        <v>83930000</v>
      </c>
      <c r="CS17">
        <v>130400000</v>
      </c>
      <c r="CT17">
        <v>25600000</v>
      </c>
      <c r="CU17">
        <v>3600000</v>
      </c>
      <c r="CV17">
        <v>7900000</v>
      </c>
      <c r="CX17">
        <v>3.6749999999999998</v>
      </c>
      <c r="CY17">
        <v>8827.34</v>
      </c>
      <c r="CZ17">
        <v>14.459199999999999</v>
      </c>
      <c r="DA17">
        <v>3.72</v>
      </c>
      <c r="DB17">
        <v>8770.15</v>
      </c>
      <c r="DC17">
        <v>14.434100000000001</v>
      </c>
      <c r="DD17">
        <v>3.6749999999999998</v>
      </c>
      <c r="DE17">
        <v>3.72</v>
      </c>
      <c r="DF17">
        <v>3.585</v>
      </c>
      <c r="DG17">
        <v>3.72</v>
      </c>
      <c r="DH17">
        <v>20111820000</v>
      </c>
      <c r="DI17">
        <v>1200000000</v>
      </c>
      <c r="DJ17">
        <v>-9000000000</v>
      </c>
      <c r="DK17">
        <v>20000000000</v>
      </c>
      <c r="DL17">
        <v>-3800000000</v>
      </c>
      <c r="DP17">
        <v>94310077</v>
      </c>
      <c r="DQ17">
        <v>22500000</v>
      </c>
      <c r="DR17">
        <v>52650000</v>
      </c>
      <c r="DS17">
        <v>20770000</v>
      </c>
      <c r="DT17">
        <v>-2100000</v>
      </c>
      <c r="DW17">
        <v>3.59</v>
      </c>
      <c r="DX17">
        <v>8356.01</v>
      </c>
      <c r="DY17">
        <v>19.139500000000002</v>
      </c>
      <c r="DZ17">
        <v>3.6320000000000001</v>
      </c>
      <c r="EA17">
        <v>8289.2099999999991</v>
      </c>
      <c r="EB17">
        <v>19.086300000000001</v>
      </c>
      <c r="EC17">
        <v>3.5950000000000002</v>
      </c>
      <c r="ED17">
        <v>3.6349999999999998</v>
      </c>
      <c r="EE17">
        <v>3.121</v>
      </c>
      <c r="EF17">
        <v>3.121</v>
      </c>
      <c r="EG17">
        <v>20903828000</v>
      </c>
      <c r="EH17">
        <v>20000000000</v>
      </c>
      <c r="EI17">
        <v>-67000000000</v>
      </c>
      <c r="EJ17">
        <v>66000000000</v>
      </c>
      <c r="EK17">
        <v>11000000000</v>
      </c>
      <c r="EL17">
        <v>10000000000</v>
      </c>
      <c r="EM17">
        <v>-3000000000</v>
      </c>
      <c r="EO17">
        <v>934214425.10000002</v>
      </c>
      <c r="EP17">
        <v>219110000</v>
      </c>
      <c r="EQ17">
        <v>796118000</v>
      </c>
      <c r="ER17">
        <v>227155000</v>
      </c>
      <c r="ES17">
        <v>15650000</v>
      </c>
      <c r="ET17">
        <v>-1600000</v>
      </c>
      <c r="EV17">
        <v>3.47</v>
      </c>
      <c r="EW17">
        <v>8426.2800000000007</v>
      </c>
      <c r="EX17">
        <v>24.228200000000001</v>
      </c>
      <c r="EY17">
        <v>3.512</v>
      </c>
      <c r="EZ17">
        <v>8341.2199999999993</v>
      </c>
      <c r="FA17">
        <v>24.098700000000001</v>
      </c>
      <c r="FB17">
        <v>3.4950000000000001</v>
      </c>
      <c r="FC17">
        <v>3.4950000000000001</v>
      </c>
      <c r="FD17">
        <v>3.4950000000000001</v>
      </c>
      <c r="FE17">
        <v>3.4950000000000001</v>
      </c>
      <c r="FF17">
        <v>-200000000</v>
      </c>
      <c r="FG17">
        <v>-200000000</v>
      </c>
      <c r="FH17">
        <v>0</v>
      </c>
      <c r="FI17">
        <v>146000000000</v>
      </c>
      <c r="FJ17">
        <v>1000000000</v>
      </c>
      <c r="FN17">
        <v>178381931</v>
      </c>
      <c r="FO17">
        <v>-39250000</v>
      </c>
      <c r="FP17">
        <v>243700000</v>
      </c>
      <c r="FQ17">
        <v>-6600000</v>
      </c>
      <c r="FS17">
        <v>-14800000</v>
      </c>
      <c r="FU17">
        <v>3.0630000000000002</v>
      </c>
      <c r="FV17">
        <v>9984.7099999999991</v>
      </c>
      <c r="FW17">
        <v>1.8467</v>
      </c>
      <c r="FX17">
        <v>3.11</v>
      </c>
      <c r="FY17">
        <v>9976.06</v>
      </c>
      <c r="FZ17">
        <v>1.8436999999999999</v>
      </c>
      <c r="GA17">
        <v>3.06</v>
      </c>
      <c r="GB17">
        <v>3.12</v>
      </c>
      <c r="GC17">
        <v>3.05</v>
      </c>
      <c r="GD17">
        <v>3.11</v>
      </c>
      <c r="GE17">
        <v>480000000000</v>
      </c>
      <c r="GF17">
        <v>150000000000</v>
      </c>
      <c r="GG17">
        <v>180000000000</v>
      </c>
      <c r="GH17">
        <v>100000000000</v>
      </c>
      <c r="GI17">
        <v>50000000000</v>
      </c>
      <c r="GK17">
        <v>10000000000</v>
      </c>
      <c r="GM17">
        <v>15000000</v>
      </c>
      <c r="GN17">
        <v>98000000</v>
      </c>
      <c r="GO17">
        <v>49500000</v>
      </c>
      <c r="GP17">
        <v>15500000</v>
      </c>
      <c r="GR17">
        <v>1000000</v>
      </c>
      <c r="GT17">
        <v>3.2160000000000002</v>
      </c>
      <c r="GU17">
        <v>9856.73</v>
      </c>
      <c r="GV17">
        <v>2.4742999999999999</v>
      </c>
      <c r="GW17">
        <v>3.2469999999999999</v>
      </c>
      <c r="GX17">
        <v>9849.18</v>
      </c>
      <c r="GY17">
        <v>2.4712999999999998</v>
      </c>
      <c r="GZ17">
        <v>3.24</v>
      </c>
      <c r="HA17">
        <v>3.2450000000000001</v>
      </c>
      <c r="HB17">
        <v>3.24</v>
      </c>
      <c r="HC17">
        <v>3.2450000000000001</v>
      </c>
      <c r="HD17">
        <v>20000000000</v>
      </c>
      <c r="HF17">
        <v>20000000000</v>
      </c>
      <c r="HG17">
        <v>120000000000</v>
      </c>
      <c r="HH17">
        <v>3500000000</v>
      </c>
      <c r="HL17">
        <v>1000000</v>
      </c>
      <c r="HM17">
        <v>370000000</v>
      </c>
      <c r="HN17">
        <v>79300000</v>
      </c>
      <c r="HO17">
        <v>-1750000</v>
      </c>
      <c r="HQ17">
        <v>20000000</v>
      </c>
    </row>
    <row r="18" spans="1:225" x14ac:dyDescent="0.3">
      <c r="A18" s="2">
        <v>46058</v>
      </c>
      <c r="B18">
        <v>2.9929999999999999</v>
      </c>
      <c r="C18">
        <v>9977.07</v>
      </c>
      <c r="D18">
        <v>1.5367</v>
      </c>
      <c r="E18">
        <v>2.9750000000000001</v>
      </c>
      <c r="F18">
        <v>9979.73</v>
      </c>
      <c r="G18">
        <v>1.5341</v>
      </c>
      <c r="H18">
        <v>2.9950000000000001</v>
      </c>
      <c r="I18">
        <v>2.9950000000000001</v>
      </c>
      <c r="J18">
        <v>2.9750000000000001</v>
      </c>
      <c r="K18">
        <v>2.9750000000000001</v>
      </c>
      <c r="L18">
        <v>28000000000</v>
      </c>
      <c r="M18">
        <v>15000000000</v>
      </c>
      <c r="N18">
        <v>-14000000000</v>
      </c>
      <c r="O18">
        <v>10000000000</v>
      </c>
      <c r="P18">
        <v>17000000000</v>
      </c>
      <c r="T18">
        <v>831193155</v>
      </c>
      <c r="U18">
        <v>44030000</v>
      </c>
      <c r="V18">
        <v>58760000</v>
      </c>
      <c r="W18">
        <v>71940000</v>
      </c>
      <c r="X18">
        <v>200000</v>
      </c>
      <c r="AA18">
        <v>3.222</v>
      </c>
      <c r="AB18">
        <v>9915.2800000000007</v>
      </c>
      <c r="AC18">
        <v>2.7010000000000001</v>
      </c>
      <c r="AD18">
        <v>3.2050000000000001</v>
      </c>
      <c r="AE18">
        <v>9919.84</v>
      </c>
      <c r="AF18">
        <v>2.6985999999999999</v>
      </c>
      <c r="AG18">
        <v>3.22</v>
      </c>
      <c r="AH18">
        <v>3.222</v>
      </c>
      <c r="AI18">
        <v>3.19</v>
      </c>
      <c r="AJ18">
        <v>3.2050000000000001</v>
      </c>
      <c r="AK18">
        <v>174650000000</v>
      </c>
      <c r="AL18">
        <v>1650000000</v>
      </c>
      <c r="AM18">
        <v>-17000000000</v>
      </c>
      <c r="AN18">
        <v>34000000000</v>
      </c>
      <c r="AO18">
        <v>136000000000</v>
      </c>
      <c r="AP18">
        <v>10000000000</v>
      </c>
      <c r="AS18">
        <v>14275434</v>
      </c>
      <c r="AT18">
        <v>136200000</v>
      </c>
      <c r="AU18">
        <v>100936000</v>
      </c>
      <c r="AV18">
        <v>147114000</v>
      </c>
      <c r="AW18">
        <v>5200000</v>
      </c>
      <c r="AX18">
        <v>3000000</v>
      </c>
      <c r="AY18">
        <v>500000</v>
      </c>
      <c r="AZ18">
        <v>3.5350000000000001</v>
      </c>
      <c r="BA18">
        <v>9666.7199999999993</v>
      </c>
      <c r="BB18">
        <v>4.242</v>
      </c>
      <c r="BC18">
        <v>3.5049999999999999</v>
      </c>
      <c r="BD18">
        <v>9679.0300000000007</v>
      </c>
      <c r="BE18">
        <v>4.2401</v>
      </c>
      <c r="BF18">
        <v>3.5350000000000001</v>
      </c>
      <c r="BG18">
        <v>3.54</v>
      </c>
      <c r="BH18">
        <v>3.4950000000000001</v>
      </c>
      <c r="BI18">
        <v>3.5064099999999998</v>
      </c>
      <c r="BJ18">
        <v>38939250000</v>
      </c>
      <c r="BK18">
        <v>10939250000</v>
      </c>
      <c r="BL18">
        <v>13000000000</v>
      </c>
      <c r="BM18">
        <v>31700000000</v>
      </c>
      <c r="BN18">
        <v>-25000000000</v>
      </c>
      <c r="BO18">
        <v>-5000000000</v>
      </c>
      <c r="BR18">
        <v>257245258.77000001</v>
      </c>
      <c r="BS18">
        <v>217510000</v>
      </c>
      <c r="BT18">
        <v>182091800</v>
      </c>
      <c r="BU18">
        <v>351828200</v>
      </c>
      <c r="BV18">
        <v>7100000</v>
      </c>
      <c r="BW18">
        <v>48700000</v>
      </c>
      <c r="BY18">
        <v>3.72</v>
      </c>
      <c r="BZ18">
        <v>9665.77</v>
      </c>
      <c r="CA18">
        <v>8.2751999999999999</v>
      </c>
      <c r="CB18">
        <v>3.6920000000000002</v>
      </c>
      <c r="CC18">
        <v>9688.2000000000007</v>
      </c>
      <c r="CD18">
        <v>8.2756000000000007</v>
      </c>
      <c r="CE18">
        <v>3.72</v>
      </c>
      <c r="CF18">
        <v>3.72</v>
      </c>
      <c r="CG18">
        <v>3.52</v>
      </c>
      <c r="CH18">
        <v>3.6930000000000001</v>
      </c>
      <c r="CI18">
        <v>445943783000</v>
      </c>
      <c r="CJ18">
        <v>445300000000</v>
      </c>
      <c r="CK18">
        <v>-36000000000</v>
      </c>
      <c r="CL18">
        <v>33000000000</v>
      </c>
      <c r="CM18">
        <v>-18000000000</v>
      </c>
      <c r="CN18">
        <v>5000000000</v>
      </c>
      <c r="CO18">
        <v>4000000000</v>
      </c>
      <c r="CQ18">
        <v>102287079.7</v>
      </c>
      <c r="CR18">
        <v>80330000</v>
      </c>
      <c r="CS18">
        <v>133700000</v>
      </c>
      <c r="CT18">
        <v>23800000</v>
      </c>
      <c r="CU18">
        <v>3600000</v>
      </c>
      <c r="CV18">
        <v>8300000</v>
      </c>
      <c r="CX18">
        <v>3.72</v>
      </c>
      <c r="CY18">
        <v>8771.0499999999993</v>
      </c>
      <c r="CZ18">
        <v>14.434100000000001</v>
      </c>
      <c r="DA18">
        <v>3.7050000000000001</v>
      </c>
      <c r="DB18">
        <v>8790.06</v>
      </c>
      <c r="DC18">
        <v>14.4389</v>
      </c>
      <c r="DD18">
        <v>3.78</v>
      </c>
      <c r="DE18">
        <v>3.78</v>
      </c>
      <c r="DF18">
        <v>3.6880000000000002</v>
      </c>
      <c r="DG18">
        <v>3.7</v>
      </c>
      <c r="DH18">
        <v>-80632800000</v>
      </c>
      <c r="DI18">
        <v>500000000</v>
      </c>
      <c r="DJ18">
        <v>-5000000000</v>
      </c>
      <c r="DK18">
        <v>25000000000</v>
      </c>
      <c r="DL18">
        <v>-101000000000</v>
      </c>
      <c r="DP18">
        <v>94360077</v>
      </c>
      <c r="DQ18">
        <v>22000000</v>
      </c>
      <c r="DR18">
        <v>55150000</v>
      </c>
      <c r="DS18">
        <v>10670000</v>
      </c>
      <c r="DT18">
        <v>-2100000</v>
      </c>
      <c r="DW18">
        <v>3.6320000000000001</v>
      </c>
      <c r="DX18">
        <v>8290.0400000000009</v>
      </c>
      <c r="DY18">
        <v>19.086300000000001</v>
      </c>
      <c r="DZ18">
        <v>3.61</v>
      </c>
      <c r="EA18">
        <v>8324.94</v>
      </c>
      <c r="EB18">
        <v>19.11</v>
      </c>
      <c r="EC18">
        <v>3.6320000000000001</v>
      </c>
      <c r="ED18">
        <v>3.8319999999999999</v>
      </c>
      <c r="EE18">
        <v>3.5019999999999998</v>
      </c>
      <c r="EF18">
        <v>3.6120000000000001</v>
      </c>
      <c r="EG18">
        <v>214426844000</v>
      </c>
      <c r="EH18">
        <v>171340000000</v>
      </c>
      <c r="EI18">
        <v>12000000000</v>
      </c>
      <c r="EJ18">
        <v>26000000000</v>
      </c>
      <c r="EK18">
        <v>9000000000</v>
      </c>
      <c r="EL18">
        <v>10000000000</v>
      </c>
      <c r="EM18">
        <v>-3000000000</v>
      </c>
      <c r="EO18">
        <v>951348425.10000002</v>
      </c>
      <c r="EP18">
        <v>220310000</v>
      </c>
      <c r="EQ18">
        <v>798718000</v>
      </c>
      <c r="ER18">
        <v>228055000</v>
      </c>
      <c r="ES18">
        <v>15650000</v>
      </c>
      <c r="ET18">
        <v>-1600000</v>
      </c>
      <c r="EV18">
        <v>3.512</v>
      </c>
      <c r="EW18">
        <v>8342.02</v>
      </c>
      <c r="EX18">
        <v>24.098700000000001</v>
      </c>
      <c r="EY18">
        <v>3.49</v>
      </c>
      <c r="EZ18">
        <v>8386.42</v>
      </c>
      <c r="FA18">
        <v>24.162400000000002</v>
      </c>
      <c r="FB18">
        <v>3.4849999999999999</v>
      </c>
      <c r="FC18">
        <v>3.4849999999999999</v>
      </c>
      <c r="FD18">
        <v>3.468</v>
      </c>
      <c r="FE18">
        <v>3.468</v>
      </c>
      <c r="FF18">
        <v>2000000000</v>
      </c>
      <c r="FG18">
        <v>2000000000</v>
      </c>
      <c r="FH18">
        <v>0</v>
      </c>
      <c r="FI18">
        <v>146000000000</v>
      </c>
      <c r="FJ18">
        <v>1000000000</v>
      </c>
      <c r="FN18">
        <v>178581931</v>
      </c>
      <c r="FO18">
        <v>-39250000</v>
      </c>
      <c r="FP18">
        <v>243700000</v>
      </c>
      <c r="FQ18">
        <v>-6600000</v>
      </c>
      <c r="FS18">
        <v>-14800000</v>
      </c>
      <c r="FU18">
        <v>3.11</v>
      </c>
      <c r="FV18">
        <v>9976.91</v>
      </c>
      <c r="FW18">
        <v>1.8436999999999999</v>
      </c>
      <c r="FX18">
        <v>3.0950000000000002</v>
      </c>
      <c r="FY18">
        <v>9979.5499999999993</v>
      </c>
      <c r="FZ18">
        <v>1.841</v>
      </c>
      <c r="GA18">
        <v>3.1</v>
      </c>
      <c r="GB18">
        <v>3.11</v>
      </c>
      <c r="GC18">
        <v>3.085</v>
      </c>
      <c r="GD18">
        <v>3.09</v>
      </c>
      <c r="GE18">
        <v>160000000000</v>
      </c>
      <c r="GF18">
        <v>50000000000</v>
      </c>
      <c r="GG18">
        <v>110000000000</v>
      </c>
      <c r="GH18">
        <v>-14000000000</v>
      </c>
      <c r="GI18">
        <v>14000000000</v>
      </c>
      <c r="GK18">
        <v>10000000000</v>
      </c>
      <c r="GM18">
        <v>20000000</v>
      </c>
      <c r="GN18">
        <v>109000000</v>
      </c>
      <c r="GO18">
        <v>48100000</v>
      </c>
      <c r="GP18">
        <v>16900000</v>
      </c>
      <c r="GR18">
        <v>1000000</v>
      </c>
      <c r="GT18">
        <v>3.2469999999999999</v>
      </c>
      <c r="GU18">
        <v>9850.07</v>
      </c>
      <c r="GV18">
        <v>2.4712999999999998</v>
      </c>
      <c r="GW18">
        <v>3.2290000000000001</v>
      </c>
      <c r="GX18">
        <v>9854.5300000000007</v>
      </c>
      <c r="GY18">
        <v>2.4687000000000001</v>
      </c>
      <c r="GZ18">
        <v>3.2349999999999999</v>
      </c>
      <c r="HA18">
        <v>3.2349999999999999</v>
      </c>
      <c r="HB18">
        <v>3.2280000000000002</v>
      </c>
      <c r="HC18">
        <v>3.2280000000000002</v>
      </c>
      <c r="HD18">
        <v>10000000000</v>
      </c>
      <c r="HF18">
        <v>10000000000</v>
      </c>
      <c r="HG18">
        <v>120000000000</v>
      </c>
      <c r="HH18">
        <v>3500000000</v>
      </c>
      <c r="HL18">
        <v>1000000</v>
      </c>
      <c r="HM18">
        <v>371000000</v>
      </c>
      <c r="HN18">
        <v>79300000</v>
      </c>
      <c r="HO18">
        <v>-1750000</v>
      </c>
      <c r="HQ18">
        <v>20000000</v>
      </c>
    </row>
    <row r="19" spans="1:225" x14ac:dyDescent="0.3">
      <c r="A19" s="2">
        <v>46059</v>
      </c>
      <c r="B19">
        <v>2.9750000000000001</v>
      </c>
      <c r="C19">
        <v>9980.5499999999993</v>
      </c>
      <c r="D19">
        <v>1.5341</v>
      </c>
      <c r="E19">
        <v>3</v>
      </c>
      <c r="F19">
        <v>9976.83</v>
      </c>
      <c r="G19">
        <v>1.5313000000000001</v>
      </c>
      <c r="H19">
        <v>2.915</v>
      </c>
      <c r="I19">
        <v>3.008</v>
      </c>
      <c r="J19">
        <v>2.915</v>
      </c>
      <c r="K19">
        <v>3.00088</v>
      </c>
      <c r="L19">
        <v>21343768000</v>
      </c>
      <c r="M19">
        <v>18796000000</v>
      </c>
      <c r="N19">
        <v>-14000000000</v>
      </c>
      <c r="O19">
        <v>0</v>
      </c>
      <c r="P19">
        <v>1000000000</v>
      </c>
      <c r="T19">
        <v>833072755</v>
      </c>
      <c r="U19">
        <v>44030000</v>
      </c>
      <c r="V19">
        <v>58760000</v>
      </c>
      <c r="W19">
        <v>72040000</v>
      </c>
      <c r="X19">
        <v>200000</v>
      </c>
      <c r="AA19">
        <v>3.2050000000000001</v>
      </c>
      <c r="AB19">
        <v>9920.7000000000007</v>
      </c>
      <c r="AC19">
        <v>2.6985999999999999</v>
      </c>
      <c r="AD19">
        <v>3.2410000000000001</v>
      </c>
      <c r="AE19">
        <v>9910.98</v>
      </c>
      <c r="AF19">
        <v>2.6953999999999998</v>
      </c>
      <c r="AG19">
        <v>3.202</v>
      </c>
      <c r="AH19">
        <v>3.2450000000000001</v>
      </c>
      <c r="AI19">
        <v>3.1629999999999998</v>
      </c>
      <c r="AJ19">
        <v>3.22</v>
      </c>
      <c r="AK19">
        <v>118000000000</v>
      </c>
      <c r="AL19">
        <v>31000000000</v>
      </c>
      <c r="AM19">
        <v>54000000000</v>
      </c>
      <c r="AN19">
        <v>20000000000</v>
      </c>
      <c r="AO19">
        <v>18000000000</v>
      </c>
      <c r="AP19">
        <v>10000000000</v>
      </c>
      <c r="AS19">
        <v>17375434</v>
      </c>
      <c r="AT19">
        <v>141600000</v>
      </c>
      <c r="AU19">
        <v>102936000</v>
      </c>
      <c r="AV19">
        <v>148914000</v>
      </c>
      <c r="AW19">
        <v>5200000</v>
      </c>
      <c r="AX19">
        <v>3000000</v>
      </c>
      <c r="AY19">
        <v>500000</v>
      </c>
      <c r="AZ19">
        <v>3.5049999999999999</v>
      </c>
      <c r="BA19">
        <v>9679.9599999999991</v>
      </c>
      <c r="BB19">
        <v>4.2401</v>
      </c>
      <c r="BC19">
        <v>3.53</v>
      </c>
      <c r="BD19">
        <v>9669.7099999999991</v>
      </c>
      <c r="BE19">
        <v>4.2366999999999999</v>
      </c>
      <c r="BF19">
        <v>3.5049999999999999</v>
      </c>
      <c r="BG19">
        <v>3.5329999999999999</v>
      </c>
      <c r="BH19">
        <v>3.45</v>
      </c>
      <c r="BI19">
        <v>3.5150000000000001</v>
      </c>
      <c r="BJ19">
        <v>244000000000</v>
      </c>
      <c r="BK19">
        <v>80000000000</v>
      </c>
      <c r="BL19">
        <v>99000000000</v>
      </c>
      <c r="BM19">
        <v>-1700000000</v>
      </c>
      <c r="BN19">
        <v>23700000000</v>
      </c>
      <c r="BO19">
        <v>-5000000000</v>
      </c>
      <c r="BR19">
        <v>265245258.77000001</v>
      </c>
      <c r="BS19">
        <v>227410000</v>
      </c>
      <c r="BT19">
        <v>181921800</v>
      </c>
      <c r="BU19">
        <v>354198200</v>
      </c>
      <c r="BV19">
        <v>7100000</v>
      </c>
      <c r="BW19">
        <v>48700000</v>
      </c>
      <c r="BY19">
        <v>3.6920000000000002</v>
      </c>
      <c r="BZ19">
        <v>9689.17</v>
      </c>
      <c r="CA19">
        <v>8.2756000000000007</v>
      </c>
      <c r="CB19">
        <v>3.7170000000000001</v>
      </c>
      <c r="CC19">
        <v>9669.15</v>
      </c>
      <c r="CD19">
        <v>8.2700999999999993</v>
      </c>
      <c r="CE19">
        <v>3.6920000000000002</v>
      </c>
      <c r="CF19">
        <v>3.7250000000000001</v>
      </c>
      <c r="CG19">
        <v>3.5329999999999999</v>
      </c>
      <c r="CH19">
        <v>3.6958199999999999</v>
      </c>
      <c r="CI19">
        <v>99246950000</v>
      </c>
      <c r="CJ19">
        <v>19195000000</v>
      </c>
      <c r="CK19">
        <v>2000000000</v>
      </c>
      <c r="CL19">
        <v>55000000000</v>
      </c>
      <c r="CM19">
        <v>11000000000</v>
      </c>
      <c r="CN19">
        <v>5000000000</v>
      </c>
      <c r="CO19">
        <v>4000000000</v>
      </c>
      <c r="CQ19">
        <v>104206579.7</v>
      </c>
      <c r="CR19">
        <v>80530000</v>
      </c>
      <c r="CS19">
        <v>139200000</v>
      </c>
      <c r="CT19">
        <v>24900000</v>
      </c>
      <c r="CU19">
        <v>3600000</v>
      </c>
      <c r="CV19">
        <v>8700000</v>
      </c>
      <c r="CX19">
        <v>3.7050000000000001</v>
      </c>
      <c r="CY19">
        <v>8790.9599999999991</v>
      </c>
      <c r="CZ19">
        <v>14.4389</v>
      </c>
      <c r="DA19">
        <v>3.7210000000000001</v>
      </c>
      <c r="DB19">
        <v>8769.84</v>
      </c>
      <c r="DC19">
        <v>14.427899999999999</v>
      </c>
      <c r="DD19">
        <v>3.7050000000000001</v>
      </c>
      <c r="DE19">
        <v>3.72</v>
      </c>
      <c r="DF19">
        <v>3.5819999999999999</v>
      </c>
      <c r="DG19">
        <v>3.72</v>
      </c>
      <c r="DH19">
        <v>28055870000</v>
      </c>
      <c r="DI19">
        <v>500000000</v>
      </c>
      <c r="DJ19">
        <v>-5000000000</v>
      </c>
      <c r="DK19">
        <v>24000000000</v>
      </c>
      <c r="DL19">
        <v>3000000000</v>
      </c>
      <c r="DP19">
        <v>94360077</v>
      </c>
      <c r="DQ19">
        <v>22000000</v>
      </c>
      <c r="DR19">
        <v>57550000</v>
      </c>
      <c r="DS19">
        <v>10970000</v>
      </c>
      <c r="DT19">
        <v>-2100000</v>
      </c>
      <c r="DW19">
        <v>3.61</v>
      </c>
      <c r="DX19">
        <v>8325.77</v>
      </c>
      <c r="DY19">
        <v>19.11</v>
      </c>
      <c r="DZ19">
        <v>3.617</v>
      </c>
      <c r="EA19">
        <v>8314.64</v>
      </c>
      <c r="EB19">
        <v>19.0989</v>
      </c>
      <c r="EC19">
        <v>3.58</v>
      </c>
      <c r="ED19">
        <v>3.68</v>
      </c>
      <c r="EE19">
        <v>3.48</v>
      </c>
      <c r="EF19">
        <v>3.56</v>
      </c>
      <c r="EG19">
        <v>138747278000</v>
      </c>
      <c r="EH19">
        <v>71500000000</v>
      </c>
      <c r="EI19">
        <v>43000000000</v>
      </c>
      <c r="EJ19">
        <v>76600000000</v>
      </c>
      <c r="EK19">
        <v>-53100000000</v>
      </c>
      <c r="EL19">
        <v>2000000000</v>
      </c>
      <c r="EM19">
        <v>-3000000000</v>
      </c>
      <c r="EO19">
        <v>958498425.10000002</v>
      </c>
      <c r="EP19">
        <v>224610000</v>
      </c>
      <c r="EQ19">
        <v>806378000</v>
      </c>
      <c r="ER19">
        <v>222745000</v>
      </c>
      <c r="ES19">
        <v>15850000</v>
      </c>
      <c r="ET19">
        <v>-1600000</v>
      </c>
      <c r="EV19">
        <v>3.49</v>
      </c>
      <c r="EW19">
        <v>8387.2199999999993</v>
      </c>
      <c r="EX19">
        <v>24.162400000000002</v>
      </c>
      <c r="EY19">
        <v>3.4969999999999999</v>
      </c>
      <c r="EZ19">
        <v>8373.06</v>
      </c>
      <c r="FA19">
        <v>24.138500000000001</v>
      </c>
      <c r="FB19">
        <v>3.4681000000000002</v>
      </c>
      <c r="FC19">
        <v>3.4681000000000002</v>
      </c>
      <c r="FD19">
        <v>3.4649999999999999</v>
      </c>
      <c r="FE19">
        <v>3.4649999999999999</v>
      </c>
      <c r="FF19">
        <v>12000000000</v>
      </c>
      <c r="FG19">
        <v>2000000000</v>
      </c>
      <c r="FH19">
        <v>0</v>
      </c>
      <c r="FI19">
        <v>10000000000</v>
      </c>
      <c r="FJ19">
        <v>1000000000</v>
      </c>
      <c r="FN19">
        <v>178781931</v>
      </c>
      <c r="FO19">
        <v>-39250000</v>
      </c>
      <c r="FP19">
        <v>244700000</v>
      </c>
      <c r="FQ19">
        <v>-6600000</v>
      </c>
      <c r="FS19">
        <v>-14800000</v>
      </c>
      <c r="FU19">
        <v>3.0950000000000002</v>
      </c>
      <c r="FV19">
        <v>9980.4</v>
      </c>
      <c r="FW19">
        <v>1.841</v>
      </c>
      <c r="FX19">
        <v>3.125</v>
      </c>
      <c r="FY19">
        <v>9975.02</v>
      </c>
      <c r="FZ19">
        <v>1.8381000000000001</v>
      </c>
      <c r="GA19">
        <v>3.0920000000000001</v>
      </c>
      <c r="GB19">
        <v>3.125</v>
      </c>
      <c r="GC19">
        <v>3.06</v>
      </c>
      <c r="GD19">
        <v>3.125</v>
      </c>
      <c r="GE19">
        <v>230000000000</v>
      </c>
      <c r="GF19">
        <v>50000000000</v>
      </c>
      <c r="GG19">
        <v>140000000000</v>
      </c>
      <c r="GH19">
        <v>70000000000</v>
      </c>
      <c r="GI19">
        <v>20000000000</v>
      </c>
      <c r="GK19">
        <v>10000000000</v>
      </c>
      <c r="GM19">
        <v>20000000</v>
      </c>
      <c r="GN19">
        <v>123000000</v>
      </c>
      <c r="GO19">
        <v>55100000</v>
      </c>
      <c r="GP19">
        <v>18900000</v>
      </c>
      <c r="GR19">
        <v>1000000</v>
      </c>
      <c r="GT19">
        <v>3.2290000000000001</v>
      </c>
      <c r="GU19">
        <v>9855.41</v>
      </c>
      <c r="GV19">
        <v>2.4687000000000001</v>
      </c>
      <c r="GW19">
        <v>3.2629999999999999</v>
      </c>
      <c r="GX19">
        <v>9847.07</v>
      </c>
      <c r="GY19">
        <v>2.4657</v>
      </c>
      <c r="GZ19">
        <v>3.2069999999999999</v>
      </c>
      <c r="HA19">
        <v>3.2160000000000002</v>
      </c>
      <c r="HB19">
        <v>3.2069999999999999</v>
      </c>
      <c r="HC19">
        <v>3.2160000000000002</v>
      </c>
      <c r="HD19">
        <v>10000000000</v>
      </c>
      <c r="HF19">
        <v>10000000000</v>
      </c>
      <c r="HG19">
        <v>120000000000</v>
      </c>
      <c r="HH19">
        <v>3500000000</v>
      </c>
      <c r="HL19">
        <v>1000000</v>
      </c>
      <c r="HM19">
        <v>372000000</v>
      </c>
      <c r="HN19">
        <v>79300000</v>
      </c>
      <c r="HO19">
        <v>-1750000</v>
      </c>
      <c r="HQ19">
        <v>20000000</v>
      </c>
    </row>
    <row r="20" spans="1:225" x14ac:dyDescent="0.3">
      <c r="A20" s="2">
        <v>46060</v>
      </c>
      <c r="B20">
        <v>3</v>
      </c>
      <c r="C20">
        <v>9977.65</v>
      </c>
      <c r="D20">
        <v>1.5313000000000001</v>
      </c>
      <c r="E20">
        <v>3</v>
      </c>
      <c r="F20">
        <v>9976.83</v>
      </c>
      <c r="G20">
        <v>1.5313000000000001</v>
      </c>
      <c r="H20">
        <v>2.915</v>
      </c>
      <c r="I20">
        <v>3.008</v>
      </c>
      <c r="J20">
        <v>2.915</v>
      </c>
      <c r="K20">
        <v>3.00088</v>
      </c>
      <c r="L20">
        <v>21343768000</v>
      </c>
      <c r="M20">
        <v>18796000000</v>
      </c>
      <c r="N20">
        <v>-14000000000</v>
      </c>
      <c r="O20">
        <v>0</v>
      </c>
      <c r="P20">
        <v>1000000000</v>
      </c>
      <c r="T20">
        <v>833072755</v>
      </c>
      <c r="U20">
        <v>44030000</v>
      </c>
      <c r="V20">
        <v>58760000</v>
      </c>
      <c r="W20">
        <v>72040000</v>
      </c>
      <c r="X20">
        <v>200000</v>
      </c>
      <c r="AA20">
        <v>3.2410000000000001</v>
      </c>
      <c r="AB20">
        <v>9911.85</v>
      </c>
      <c r="AC20">
        <v>2.6953999999999998</v>
      </c>
      <c r="AD20">
        <v>3.2410000000000001</v>
      </c>
      <c r="AE20">
        <v>9910.98</v>
      </c>
      <c r="AF20">
        <v>2.6953999999999998</v>
      </c>
      <c r="AG20">
        <v>3.202</v>
      </c>
      <c r="AH20">
        <v>3.2450000000000001</v>
      </c>
      <c r="AI20">
        <v>3.1629999999999998</v>
      </c>
      <c r="AJ20">
        <v>3.22</v>
      </c>
      <c r="AK20">
        <v>118000000000</v>
      </c>
      <c r="AL20">
        <v>31000000000</v>
      </c>
      <c r="AM20">
        <v>54000000000</v>
      </c>
      <c r="AN20">
        <v>20000000000</v>
      </c>
      <c r="AO20">
        <v>18000000000</v>
      </c>
      <c r="AP20">
        <v>10000000000</v>
      </c>
      <c r="AS20">
        <v>17375434</v>
      </c>
      <c r="AT20">
        <v>141600000</v>
      </c>
      <c r="AU20">
        <v>102936000</v>
      </c>
      <c r="AV20">
        <v>148914000</v>
      </c>
      <c r="AW20">
        <v>5200000</v>
      </c>
      <c r="AX20">
        <v>3000000</v>
      </c>
      <c r="AY20">
        <v>500000</v>
      </c>
      <c r="AZ20">
        <v>3.53</v>
      </c>
      <c r="BA20">
        <v>9670.65</v>
      </c>
      <c r="BB20">
        <v>4.2366999999999999</v>
      </c>
      <c r="BC20">
        <v>3.53</v>
      </c>
      <c r="BD20">
        <v>9669.7099999999991</v>
      </c>
      <c r="BE20">
        <v>4.2366999999999999</v>
      </c>
      <c r="BF20">
        <v>3.5049999999999999</v>
      </c>
      <c r="BG20">
        <v>3.5329999999999999</v>
      </c>
      <c r="BH20">
        <v>3.45</v>
      </c>
      <c r="BI20">
        <v>3.5150000000000001</v>
      </c>
      <c r="BJ20">
        <v>244000000000</v>
      </c>
      <c r="BK20">
        <v>80000000000</v>
      </c>
      <c r="BL20">
        <v>99000000000</v>
      </c>
      <c r="BM20">
        <v>-1700000000</v>
      </c>
      <c r="BN20">
        <v>23700000000</v>
      </c>
      <c r="BO20">
        <v>-5000000000</v>
      </c>
      <c r="BR20">
        <v>265245258.77000001</v>
      </c>
      <c r="BS20">
        <v>227410000</v>
      </c>
      <c r="BT20">
        <v>181921800</v>
      </c>
      <c r="BU20">
        <v>354198200</v>
      </c>
      <c r="BV20">
        <v>7100000</v>
      </c>
      <c r="BW20">
        <v>48700000</v>
      </c>
      <c r="BY20">
        <v>3.7170000000000001</v>
      </c>
      <c r="BZ20">
        <v>9670.1200000000008</v>
      </c>
      <c r="CA20">
        <v>8.2700999999999993</v>
      </c>
      <c r="CB20">
        <v>3.7170000000000001</v>
      </c>
      <c r="CC20">
        <v>9669.15</v>
      </c>
      <c r="CD20">
        <v>8.2700999999999993</v>
      </c>
      <c r="CE20">
        <v>3.6920000000000002</v>
      </c>
      <c r="CF20">
        <v>3.7250000000000001</v>
      </c>
      <c r="CG20">
        <v>3.5329999999999999</v>
      </c>
      <c r="CH20">
        <v>3.6958199999999999</v>
      </c>
      <c r="CI20">
        <v>99246950000</v>
      </c>
      <c r="CJ20">
        <v>19195000000</v>
      </c>
      <c r="CK20">
        <v>2000000000</v>
      </c>
      <c r="CL20">
        <v>55000000000</v>
      </c>
      <c r="CM20">
        <v>11000000000</v>
      </c>
      <c r="CN20">
        <v>5000000000</v>
      </c>
      <c r="CO20">
        <v>4000000000</v>
      </c>
      <c r="CQ20">
        <v>104206579.7</v>
      </c>
      <c r="CR20">
        <v>80530000</v>
      </c>
      <c r="CS20">
        <v>139200000</v>
      </c>
      <c r="CT20">
        <v>24900000</v>
      </c>
      <c r="CU20">
        <v>3600000</v>
      </c>
      <c r="CV20">
        <v>8700000</v>
      </c>
      <c r="CX20">
        <v>3.7210000000000001</v>
      </c>
      <c r="CY20">
        <v>8770.74</v>
      </c>
      <c r="CZ20">
        <v>14.427899999999999</v>
      </c>
      <c r="DA20">
        <v>3.7210000000000001</v>
      </c>
      <c r="DB20">
        <v>8769.84</v>
      </c>
      <c r="DC20">
        <v>14.427899999999999</v>
      </c>
      <c r="DD20">
        <v>3.7050000000000001</v>
      </c>
      <c r="DE20">
        <v>3.72</v>
      </c>
      <c r="DF20">
        <v>3.5819999999999999</v>
      </c>
      <c r="DG20">
        <v>3.72</v>
      </c>
      <c r="DH20">
        <v>28055870000</v>
      </c>
      <c r="DI20">
        <v>500000000</v>
      </c>
      <c r="DJ20">
        <v>-5000000000</v>
      </c>
      <c r="DK20">
        <v>24000000000</v>
      </c>
      <c r="DL20">
        <v>3000000000</v>
      </c>
      <c r="DP20">
        <v>94360077</v>
      </c>
      <c r="DQ20">
        <v>22000000</v>
      </c>
      <c r="DR20">
        <v>57550000</v>
      </c>
      <c r="DS20">
        <v>10970000</v>
      </c>
      <c r="DT20">
        <v>-2100000</v>
      </c>
      <c r="DW20">
        <v>3.617</v>
      </c>
      <c r="DX20">
        <v>8315.4699999999993</v>
      </c>
      <c r="DY20">
        <v>19.0989</v>
      </c>
      <c r="DZ20">
        <v>3.617</v>
      </c>
      <c r="EA20">
        <v>8314.64</v>
      </c>
      <c r="EB20">
        <v>19.0989</v>
      </c>
      <c r="EC20">
        <v>3.58</v>
      </c>
      <c r="ED20">
        <v>3.68</v>
      </c>
      <c r="EE20">
        <v>3.48</v>
      </c>
      <c r="EF20">
        <v>3.56</v>
      </c>
      <c r="EG20">
        <v>138747278000</v>
      </c>
      <c r="EH20">
        <v>71500000000</v>
      </c>
      <c r="EI20">
        <v>43000000000</v>
      </c>
      <c r="EJ20">
        <v>76600000000</v>
      </c>
      <c r="EK20">
        <v>-53100000000</v>
      </c>
      <c r="EL20">
        <v>2000000000</v>
      </c>
      <c r="EM20">
        <v>-3000000000</v>
      </c>
      <c r="EO20">
        <v>958498425.10000002</v>
      </c>
      <c r="EP20">
        <v>224610000</v>
      </c>
      <c r="EQ20">
        <v>806378000</v>
      </c>
      <c r="ER20">
        <v>222745000</v>
      </c>
      <c r="ES20">
        <v>15850000</v>
      </c>
      <c r="ET20">
        <v>-1600000</v>
      </c>
      <c r="EV20">
        <v>3.4969999999999999</v>
      </c>
      <c r="EW20">
        <v>8373.8700000000008</v>
      </c>
      <c r="EX20">
        <v>24.138500000000001</v>
      </c>
      <c r="EY20">
        <v>3.4969999999999999</v>
      </c>
      <c r="EZ20">
        <v>8373.06</v>
      </c>
      <c r="FA20">
        <v>24.138500000000001</v>
      </c>
      <c r="FB20">
        <v>3.4681000000000002</v>
      </c>
      <c r="FC20">
        <v>3.4681000000000002</v>
      </c>
      <c r="FD20">
        <v>3.4649999999999999</v>
      </c>
      <c r="FE20">
        <v>3.4649999999999999</v>
      </c>
      <c r="FF20">
        <v>12000000000</v>
      </c>
      <c r="FG20">
        <v>2000000000</v>
      </c>
      <c r="FH20">
        <v>0</v>
      </c>
      <c r="FI20">
        <v>10000000000</v>
      </c>
      <c r="FJ20">
        <v>1000000000</v>
      </c>
      <c r="FN20">
        <v>178781931</v>
      </c>
      <c r="FO20">
        <v>-39250000</v>
      </c>
      <c r="FP20">
        <v>244700000</v>
      </c>
      <c r="FQ20">
        <v>-6600000</v>
      </c>
      <c r="FS20">
        <v>-14800000</v>
      </c>
      <c r="FU20">
        <v>3.125</v>
      </c>
      <c r="FV20">
        <v>9975.8799999999992</v>
      </c>
      <c r="FW20">
        <v>1.8381000000000001</v>
      </c>
      <c r="FX20">
        <v>3.125</v>
      </c>
      <c r="FY20">
        <v>9975.02</v>
      </c>
      <c r="FZ20">
        <v>1.8381000000000001</v>
      </c>
      <c r="GA20">
        <v>3.0920000000000001</v>
      </c>
      <c r="GB20">
        <v>3.125</v>
      </c>
      <c r="GC20">
        <v>3.06</v>
      </c>
      <c r="GD20">
        <v>3.125</v>
      </c>
      <c r="GE20">
        <v>230000000000</v>
      </c>
      <c r="GF20">
        <v>50000000000</v>
      </c>
      <c r="GG20">
        <v>140000000000</v>
      </c>
      <c r="GH20">
        <v>70000000000</v>
      </c>
      <c r="GI20">
        <v>20000000000</v>
      </c>
      <c r="GK20">
        <v>10000000000</v>
      </c>
      <c r="GM20">
        <v>20000000</v>
      </c>
      <c r="GN20">
        <v>123000000</v>
      </c>
      <c r="GO20">
        <v>55100000</v>
      </c>
      <c r="GP20">
        <v>18900000</v>
      </c>
      <c r="GR20">
        <v>1000000</v>
      </c>
      <c r="GT20">
        <v>3.2629999999999999</v>
      </c>
      <c r="GU20">
        <v>9847.9599999999991</v>
      </c>
      <c r="GV20">
        <v>2.4657</v>
      </c>
      <c r="GW20">
        <v>3.2629999999999999</v>
      </c>
      <c r="GX20">
        <v>9847.07</v>
      </c>
      <c r="GY20">
        <v>2.4657</v>
      </c>
      <c r="GZ20">
        <v>3.2069999999999999</v>
      </c>
      <c r="HA20">
        <v>3.2160000000000002</v>
      </c>
      <c r="HB20">
        <v>3.2069999999999999</v>
      </c>
      <c r="HC20">
        <v>3.2160000000000002</v>
      </c>
      <c r="HD20">
        <v>10000000000</v>
      </c>
      <c r="HF20">
        <v>10000000000</v>
      </c>
      <c r="HG20">
        <v>120000000000</v>
      </c>
      <c r="HH20">
        <v>3500000000</v>
      </c>
      <c r="HL20">
        <v>1000000</v>
      </c>
      <c r="HM20">
        <v>372000000</v>
      </c>
      <c r="HN20">
        <v>79300000</v>
      </c>
      <c r="HO20">
        <v>-1750000</v>
      </c>
      <c r="HQ20">
        <v>20000000</v>
      </c>
    </row>
    <row r="21" spans="1:225" x14ac:dyDescent="0.3">
      <c r="A21" s="2">
        <v>46061</v>
      </c>
      <c r="B21">
        <v>3</v>
      </c>
      <c r="C21">
        <v>9978.48</v>
      </c>
      <c r="D21">
        <v>1.5295000000000001</v>
      </c>
      <c r="E21">
        <v>3</v>
      </c>
      <c r="F21">
        <v>9976.83</v>
      </c>
      <c r="G21">
        <v>1.5313000000000001</v>
      </c>
      <c r="H21">
        <v>2.915</v>
      </c>
      <c r="I21">
        <v>3.008</v>
      </c>
      <c r="J21">
        <v>2.915</v>
      </c>
      <c r="K21">
        <v>3.00088</v>
      </c>
      <c r="L21">
        <v>21343768000</v>
      </c>
      <c r="M21">
        <v>18796000000</v>
      </c>
      <c r="N21">
        <v>-14000000000</v>
      </c>
      <c r="O21">
        <v>0</v>
      </c>
      <c r="P21">
        <v>1000000000</v>
      </c>
      <c r="T21">
        <v>833072755</v>
      </c>
      <c r="U21">
        <v>44030000</v>
      </c>
      <c r="V21">
        <v>58760000</v>
      </c>
      <c r="W21">
        <v>72040000</v>
      </c>
      <c r="X21">
        <v>200000</v>
      </c>
      <c r="AA21">
        <v>3.2410000000000001</v>
      </c>
      <c r="AB21">
        <v>9912.7199999999993</v>
      </c>
      <c r="AC21">
        <v>2.6936</v>
      </c>
      <c r="AD21">
        <v>3.2410000000000001</v>
      </c>
      <c r="AE21">
        <v>9910.98</v>
      </c>
      <c r="AF21">
        <v>2.6953999999999998</v>
      </c>
      <c r="AG21">
        <v>3.202</v>
      </c>
      <c r="AH21">
        <v>3.2450000000000001</v>
      </c>
      <c r="AI21">
        <v>3.1629999999999998</v>
      </c>
      <c r="AJ21">
        <v>3.22</v>
      </c>
      <c r="AK21">
        <v>118000000000</v>
      </c>
      <c r="AL21">
        <v>31000000000</v>
      </c>
      <c r="AM21">
        <v>54000000000</v>
      </c>
      <c r="AN21">
        <v>20000000000</v>
      </c>
      <c r="AO21">
        <v>18000000000</v>
      </c>
      <c r="AP21">
        <v>10000000000</v>
      </c>
      <c r="AS21">
        <v>17375434</v>
      </c>
      <c r="AT21">
        <v>141600000</v>
      </c>
      <c r="AU21">
        <v>102936000</v>
      </c>
      <c r="AV21">
        <v>148914000</v>
      </c>
      <c r="AW21">
        <v>5200000</v>
      </c>
      <c r="AX21">
        <v>3000000</v>
      </c>
      <c r="AY21">
        <v>500000</v>
      </c>
      <c r="AZ21">
        <v>3.53</v>
      </c>
      <c r="BA21">
        <v>9671.59</v>
      </c>
      <c r="BB21">
        <v>4.2348999999999997</v>
      </c>
      <c r="BC21">
        <v>3.53</v>
      </c>
      <c r="BD21">
        <v>9669.7099999999991</v>
      </c>
      <c r="BE21">
        <v>4.2366999999999999</v>
      </c>
      <c r="BF21">
        <v>3.5049999999999999</v>
      </c>
      <c r="BG21">
        <v>3.5329999999999999</v>
      </c>
      <c r="BH21">
        <v>3.45</v>
      </c>
      <c r="BI21">
        <v>3.5150000000000001</v>
      </c>
      <c r="BJ21">
        <v>244000000000</v>
      </c>
      <c r="BK21">
        <v>80000000000</v>
      </c>
      <c r="BL21">
        <v>99000000000</v>
      </c>
      <c r="BM21">
        <v>-1700000000</v>
      </c>
      <c r="BN21">
        <v>23700000000</v>
      </c>
      <c r="BO21">
        <v>-5000000000</v>
      </c>
      <c r="BR21">
        <v>265245258.77000001</v>
      </c>
      <c r="BS21">
        <v>227410000</v>
      </c>
      <c r="BT21">
        <v>181921800</v>
      </c>
      <c r="BU21">
        <v>354198200</v>
      </c>
      <c r="BV21">
        <v>7100000</v>
      </c>
      <c r="BW21">
        <v>48700000</v>
      </c>
      <c r="BY21">
        <v>3.7170000000000001</v>
      </c>
      <c r="BZ21">
        <v>9671.1</v>
      </c>
      <c r="CA21">
        <v>8.2683</v>
      </c>
      <c r="CB21">
        <v>3.7170000000000001</v>
      </c>
      <c r="CC21">
        <v>9669.15</v>
      </c>
      <c r="CD21">
        <v>8.2700999999999993</v>
      </c>
      <c r="CE21">
        <v>3.6920000000000002</v>
      </c>
      <c r="CF21">
        <v>3.7250000000000001</v>
      </c>
      <c r="CG21">
        <v>3.5329999999999999</v>
      </c>
      <c r="CH21">
        <v>3.6958199999999999</v>
      </c>
      <c r="CI21">
        <v>99246950000</v>
      </c>
      <c r="CJ21">
        <v>19195000000</v>
      </c>
      <c r="CK21">
        <v>2000000000</v>
      </c>
      <c r="CL21">
        <v>55000000000</v>
      </c>
      <c r="CM21">
        <v>11000000000</v>
      </c>
      <c r="CN21">
        <v>5000000000</v>
      </c>
      <c r="CO21">
        <v>4000000000</v>
      </c>
      <c r="CQ21">
        <v>104206579.7</v>
      </c>
      <c r="CR21">
        <v>80530000</v>
      </c>
      <c r="CS21">
        <v>139200000</v>
      </c>
      <c r="CT21">
        <v>24900000</v>
      </c>
      <c r="CU21">
        <v>3600000</v>
      </c>
      <c r="CV21">
        <v>8700000</v>
      </c>
      <c r="CX21">
        <v>3.7210000000000001</v>
      </c>
      <c r="CY21">
        <v>8771.6299999999992</v>
      </c>
      <c r="CZ21">
        <v>14.4261</v>
      </c>
      <c r="DA21">
        <v>3.7210000000000001</v>
      </c>
      <c r="DB21">
        <v>8769.84</v>
      </c>
      <c r="DC21">
        <v>14.427899999999999</v>
      </c>
      <c r="DD21">
        <v>3.7050000000000001</v>
      </c>
      <c r="DE21">
        <v>3.72</v>
      </c>
      <c r="DF21">
        <v>3.5819999999999999</v>
      </c>
      <c r="DG21">
        <v>3.72</v>
      </c>
      <c r="DH21">
        <v>28055870000</v>
      </c>
      <c r="DI21">
        <v>500000000</v>
      </c>
      <c r="DJ21">
        <v>-5000000000</v>
      </c>
      <c r="DK21">
        <v>24000000000</v>
      </c>
      <c r="DL21">
        <v>3000000000</v>
      </c>
      <c r="DP21">
        <v>94360077</v>
      </c>
      <c r="DQ21">
        <v>22000000</v>
      </c>
      <c r="DR21">
        <v>57550000</v>
      </c>
      <c r="DS21">
        <v>10970000</v>
      </c>
      <c r="DT21">
        <v>-2100000</v>
      </c>
      <c r="DW21">
        <v>3.617</v>
      </c>
      <c r="DX21">
        <v>8316.2999999999993</v>
      </c>
      <c r="DY21">
        <v>19.097100000000001</v>
      </c>
      <c r="DZ21">
        <v>3.617</v>
      </c>
      <c r="EA21">
        <v>8314.64</v>
      </c>
      <c r="EB21">
        <v>19.0989</v>
      </c>
      <c r="EC21">
        <v>3.58</v>
      </c>
      <c r="ED21">
        <v>3.68</v>
      </c>
      <c r="EE21">
        <v>3.48</v>
      </c>
      <c r="EF21">
        <v>3.56</v>
      </c>
      <c r="EG21">
        <v>138747278000</v>
      </c>
      <c r="EH21">
        <v>71500000000</v>
      </c>
      <c r="EI21">
        <v>43000000000</v>
      </c>
      <c r="EJ21">
        <v>76600000000</v>
      </c>
      <c r="EK21">
        <v>-53100000000</v>
      </c>
      <c r="EL21">
        <v>2000000000</v>
      </c>
      <c r="EM21">
        <v>-3000000000</v>
      </c>
      <c r="EO21">
        <v>958498425.10000002</v>
      </c>
      <c r="EP21">
        <v>224610000</v>
      </c>
      <c r="EQ21">
        <v>806378000</v>
      </c>
      <c r="ER21">
        <v>222745000</v>
      </c>
      <c r="ES21">
        <v>15850000</v>
      </c>
      <c r="ET21">
        <v>-1600000</v>
      </c>
      <c r="EV21">
        <v>3.4969999999999999</v>
      </c>
      <c r="EW21">
        <v>8374.67</v>
      </c>
      <c r="EX21">
        <v>24.136800000000001</v>
      </c>
      <c r="EY21">
        <v>3.4969999999999999</v>
      </c>
      <c r="EZ21">
        <v>8373.06</v>
      </c>
      <c r="FA21">
        <v>24.138500000000001</v>
      </c>
      <c r="FB21">
        <v>3.4681000000000002</v>
      </c>
      <c r="FC21">
        <v>3.4681000000000002</v>
      </c>
      <c r="FD21">
        <v>3.4649999999999999</v>
      </c>
      <c r="FE21">
        <v>3.4649999999999999</v>
      </c>
      <c r="FF21">
        <v>12000000000</v>
      </c>
      <c r="FG21">
        <v>2000000000</v>
      </c>
      <c r="FH21">
        <v>0</v>
      </c>
      <c r="FI21">
        <v>10000000000</v>
      </c>
      <c r="FJ21">
        <v>1000000000</v>
      </c>
      <c r="FN21">
        <v>178781931</v>
      </c>
      <c r="FO21">
        <v>-39250000</v>
      </c>
      <c r="FP21">
        <v>244700000</v>
      </c>
      <c r="FQ21">
        <v>-6600000</v>
      </c>
      <c r="FS21">
        <v>-14800000</v>
      </c>
      <c r="FU21">
        <v>3.125</v>
      </c>
      <c r="FV21">
        <v>9976.74</v>
      </c>
      <c r="FW21">
        <v>1.8363</v>
      </c>
      <c r="FX21">
        <v>3.125</v>
      </c>
      <c r="FY21">
        <v>9975.02</v>
      </c>
      <c r="FZ21">
        <v>1.8381000000000001</v>
      </c>
      <c r="GA21">
        <v>3.0920000000000001</v>
      </c>
      <c r="GB21">
        <v>3.125</v>
      </c>
      <c r="GC21">
        <v>3.06</v>
      </c>
      <c r="GD21">
        <v>3.125</v>
      </c>
      <c r="GE21">
        <v>230000000000</v>
      </c>
      <c r="GF21">
        <v>50000000000</v>
      </c>
      <c r="GG21">
        <v>140000000000</v>
      </c>
      <c r="GH21">
        <v>70000000000</v>
      </c>
      <c r="GI21">
        <v>20000000000</v>
      </c>
      <c r="GK21">
        <v>10000000000</v>
      </c>
      <c r="GM21">
        <v>20000000</v>
      </c>
      <c r="GN21">
        <v>123000000</v>
      </c>
      <c r="GO21">
        <v>55100000</v>
      </c>
      <c r="GP21">
        <v>18900000</v>
      </c>
      <c r="GR21">
        <v>1000000</v>
      </c>
      <c r="GT21">
        <v>3.2629999999999999</v>
      </c>
      <c r="GU21">
        <v>9848.85</v>
      </c>
      <c r="GV21">
        <v>2.4639000000000002</v>
      </c>
      <c r="GW21">
        <v>3.2629999999999999</v>
      </c>
      <c r="GX21">
        <v>9847.07</v>
      </c>
      <c r="GY21">
        <v>2.4657</v>
      </c>
      <c r="GZ21">
        <v>3.2069999999999999</v>
      </c>
      <c r="HA21">
        <v>3.2160000000000002</v>
      </c>
      <c r="HB21">
        <v>3.2069999999999999</v>
      </c>
      <c r="HC21">
        <v>3.2160000000000002</v>
      </c>
      <c r="HD21">
        <v>10000000000</v>
      </c>
      <c r="HF21">
        <v>10000000000</v>
      </c>
      <c r="HG21">
        <v>120000000000</v>
      </c>
      <c r="HH21">
        <v>3500000000</v>
      </c>
      <c r="HL21">
        <v>1000000</v>
      </c>
      <c r="HM21">
        <v>372000000</v>
      </c>
      <c r="HN21">
        <v>79300000</v>
      </c>
      <c r="HO21">
        <v>-1750000</v>
      </c>
      <c r="HQ21">
        <v>20000000</v>
      </c>
    </row>
    <row r="22" spans="1:225" x14ac:dyDescent="0.3">
      <c r="A22" s="2">
        <v>46062</v>
      </c>
      <c r="B22">
        <v>3</v>
      </c>
      <c r="C22">
        <v>9979.2999999999993</v>
      </c>
      <c r="D22">
        <v>1.5276000000000001</v>
      </c>
      <c r="E22">
        <v>2.9910000000000001</v>
      </c>
      <c r="F22">
        <v>9980.57</v>
      </c>
      <c r="G22">
        <v>1.5232000000000001</v>
      </c>
      <c r="H22">
        <v>2.9940000000000002</v>
      </c>
      <c r="I22">
        <v>3.0139999999999998</v>
      </c>
      <c r="J22">
        <v>2.99</v>
      </c>
      <c r="K22">
        <v>2.99</v>
      </c>
      <c r="L22">
        <v>21343768000</v>
      </c>
      <c r="M22">
        <v>18796000000</v>
      </c>
      <c r="N22">
        <v>-14000000000</v>
      </c>
      <c r="O22">
        <v>0</v>
      </c>
      <c r="P22">
        <v>1000000000</v>
      </c>
      <c r="T22">
        <v>833072755</v>
      </c>
      <c r="U22">
        <v>44030000</v>
      </c>
      <c r="V22">
        <v>58760000</v>
      </c>
      <c r="W22">
        <v>72040000</v>
      </c>
      <c r="X22">
        <v>200000</v>
      </c>
      <c r="AA22">
        <v>3.2410000000000001</v>
      </c>
      <c r="AB22">
        <v>9913.59</v>
      </c>
      <c r="AC22">
        <v>2.6918000000000002</v>
      </c>
      <c r="AD22">
        <v>3.2690000000000001</v>
      </c>
      <c r="AE22">
        <v>9906.2199999999993</v>
      </c>
      <c r="AF22">
        <v>2.6869000000000001</v>
      </c>
      <c r="AG22">
        <v>3.24</v>
      </c>
      <c r="AH22">
        <v>3.29</v>
      </c>
      <c r="AI22">
        <v>3.2050000000000001</v>
      </c>
      <c r="AJ22">
        <v>3.2650000000000001</v>
      </c>
      <c r="AK22">
        <v>118000000000</v>
      </c>
      <c r="AL22">
        <v>31000000000</v>
      </c>
      <c r="AM22">
        <v>54000000000</v>
      </c>
      <c r="AN22">
        <v>20000000000</v>
      </c>
      <c r="AO22">
        <v>18000000000</v>
      </c>
      <c r="AP22">
        <v>10000000000</v>
      </c>
      <c r="AS22">
        <v>17375434</v>
      </c>
      <c r="AT22">
        <v>141600000</v>
      </c>
      <c r="AU22">
        <v>102936000</v>
      </c>
      <c r="AV22">
        <v>148914000</v>
      </c>
      <c r="AW22">
        <v>5200000</v>
      </c>
      <c r="AX22">
        <v>3000000</v>
      </c>
      <c r="AY22">
        <v>500000</v>
      </c>
      <c r="AZ22">
        <v>3.53</v>
      </c>
      <c r="BA22">
        <v>9672.5300000000007</v>
      </c>
      <c r="BB22">
        <v>4.2331000000000003</v>
      </c>
      <c r="BC22">
        <v>3.5579999999999998</v>
      </c>
      <c r="BD22">
        <v>9661.08</v>
      </c>
      <c r="BE22">
        <v>4.2278000000000002</v>
      </c>
      <c r="BF22">
        <v>3.53</v>
      </c>
      <c r="BG22">
        <v>3.5649999999999999</v>
      </c>
      <c r="BH22">
        <v>3.5139999999999998</v>
      </c>
      <c r="BI22">
        <v>3.55</v>
      </c>
      <c r="BJ22">
        <v>244000000000</v>
      </c>
      <c r="BK22">
        <v>80000000000</v>
      </c>
      <c r="BL22">
        <v>99000000000</v>
      </c>
      <c r="BM22">
        <v>-1700000000</v>
      </c>
      <c r="BN22">
        <v>23700000000</v>
      </c>
      <c r="BO22">
        <v>-5000000000</v>
      </c>
      <c r="BR22">
        <v>265245258.77000001</v>
      </c>
      <c r="BS22">
        <v>227410000</v>
      </c>
      <c r="BT22">
        <v>181921800</v>
      </c>
      <c r="BU22">
        <v>354198200</v>
      </c>
      <c r="BV22">
        <v>7100000</v>
      </c>
      <c r="BW22">
        <v>48700000</v>
      </c>
      <c r="BY22">
        <v>3.7170000000000001</v>
      </c>
      <c r="BZ22">
        <v>9672.07</v>
      </c>
      <c r="CA22">
        <v>8.2665000000000006</v>
      </c>
      <c r="CB22">
        <v>3.7610000000000001</v>
      </c>
      <c r="CC22">
        <v>9636.7099999999991</v>
      </c>
      <c r="CD22">
        <v>8.2570999999999994</v>
      </c>
      <c r="CE22">
        <v>3.7170000000000001</v>
      </c>
      <c r="CF22">
        <v>3.7629999999999999</v>
      </c>
      <c r="CG22">
        <v>3.6549999999999998</v>
      </c>
      <c r="CH22">
        <v>3.7549999999999999</v>
      </c>
      <c r="CI22">
        <v>99246950000</v>
      </c>
      <c r="CJ22">
        <v>19195000000</v>
      </c>
      <c r="CK22">
        <v>2000000000</v>
      </c>
      <c r="CL22">
        <v>55000000000</v>
      </c>
      <c r="CM22">
        <v>11000000000</v>
      </c>
      <c r="CN22">
        <v>5000000000</v>
      </c>
      <c r="CO22">
        <v>4000000000</v>
      </c>
      <c r="CQ22">
        <v>104206579.7</v>
      </c>
      <c r="CR22">
        <v>80530000</v>
      </c>
      <c r="CS22">
        <v>139200000</v>
      </c>
      <c r="CT22">
        <v>24900000</v>
      </c>
      <c r="CU22">
        <v>3600000</v>
      </c>
      <c r="CV22">
        <v>8700000</v>
      </c>
      <c r="CX22">
        <v>3.7210000000000001</v>
      </c>
      <c r="CY22">
        <v>8772.5300000000007</v>
      </c>
      <c r="CZ22">
        <v>14.424300000000001</v>
      </c>
      <c r="DA22">
        <v>3.7450000000000001</v>
      </c>
      <c r="DB22">
        <v>8743.08</v>
      </c>
      <c r="DC22">
        <v>14.408200000000001</v>
      </c>
      <c r="DD22">
        <v>3.738</v>
      </c>
      <c r="DE22">
        <v>3.7549999999999999</v>
      </c>
      <c r="DF22">
        <v>3.738</v>
      </c>
      <c r="DG22">
        <v>3.7450000000000001</v>
      </c>
      <c r="DH22">
        <v>28055870000</v>
      </c>
      <c r="DI22">
        <v>500000000</v>
      </c>
      <c r="DJ22">
        <v>-5000000000</v>
      </c>
      <c r="DK22">
        <v>24000000000</v>
      </c>
      <c r="DL22">
        <v>3000000000</v>
      </c>
      <c r="DP22">
        <v>94360077</v>
      </c>
      <c r="DQ22">
        <v>22000000</v>
      </c>
      <c r="DR22">
        <v>57550000</v>
      </c>
      <c r="DS22">
        <v>10970000</v>
      </c>
      <c r="DT22">
        <v>-2100000</v>
      </c>
      <c r="DW22">
        <v>3.617</v>
      </c>
      <c r="DX22">
        <v>8317.1299999999992</v>
      </c>
      <c r="DY22">
        <v>19.095300000000002</v>
      </c>
      <c r="DZ22">
        <v>3.6480000000000001</v>
      </c>
      <c r="EA22">
        <v>8268.1</v>
      </c>
      <c r="EB22">
        <v>19.0535</v>
      </c>
      <c r="EC22">
        <v>3.4870000000000001</v>
      </c>
      <c r="ED22">
        <v>3.702</v>
      </c>
      <c r="EE22">
        <v>3.4870000000000001</v>
      </c>
      <c r="EF22">
        <v>3.5186000000000002</v>
      </c>
      <c r="EG22">
        <v>138747278000</v>
      </c>
      <c r="EH22">
        <v>71500000000</v>
      </c>
      <c r="EI22">
        <v>43000000000</v>
      </c>
      <c r="EJ22">
        <v>76600000000</v>
      </c>
      <c r="EK22">
        <v>-53100000000</v>
      </c>
      <c r="EL22">
        <v>2000000000</v>
      </c>
      <c r="EM22">
        <v>-3000000000</v>
      </c>
      <c r="EO22">
        <v>958498425.10000002</v>
      </c>
      <c r="EP22">
        <v>224610000</v>
      </c>
      <c r="EQ22">
        <v>806378000</v>
      </c>
      <c r="ER22">
        <v>222745000</v>
      </c>
      <c r="ES22">
        <v>15850000</v>
      </c>
      <c r="ET22">
        <v>-1600000</v>
      </c>
      <c r="EV22">
        <v>3.4969999999999999</v>
      </c>
      <c r="EW22">
        <v>8375.48</v>
      </c>
      <c r="EX22">
        <v>24.134899999999998</v>
      </c>
      <c r="EY22">
        <v>3.528</v>
      </c>
      <c r="EZ22">
        <v>8313.19</v>
      </c>
      <c r="FA22">
        <v>24.036999999999999</v>
      </c>
      <c r="FB22">
        <v>3.4681000000000002</v>
      </c>
      <c r="FC22">
        <v>3.4681000000000002</v>
      </c>
      <c r="FD22">
        <v>3.4649999999999999</v>
      </c>
      <c r="FE22">
        <v>3.4649999999999999</v>
      </c>
      <c r="FF22">
        <v>12000000000</v>
      </c>
      <c r="FG22">
        <v>2000000000</v>
      </c>
      <c r="FH22">
        <v>0</v>
      </c>
      <c r="FI22">
        <v>10000000000</v>
      </c>
      <c r="FJ22">
        <v>1000000000</v>
      </c>
      <c r="FN22">
        <v>178781931</v>
      </c>
      <c r="FO22">
        <v>-39250000</v>
      </c>
      <c r="FP22">
        <v>244700000</v>
      </c>
      <c r="FQ22">
        <v>-6600000</v>
      </c>
      <c r="FS22">
        <v>-14800000</v>
      </c>
      <c r="FU22">
        <v>3.125</v>
      </c>
      <c r="FV22">
        <v>9977.6</v>
      </c>
      <c r="FW22">
        <v>1.8345</v>
      </c>
      <c r="FX22">
        <v>3.1160000000000001</v>
      </c>
      <c r="FY22">
        <v>9979.19</v>
      </c>
      <c r="FZ22">
        <v>1.8299000000000001</v>
      </c>
      <c r="GA22">
        <v>3.125</v>
      </c>
      <c r="GB22">
        <v>3.13</v>
      </c>
      <c r="GC22">
        <v>3.0720000000000001</v>
      </c>
      <c r="GD22">
        <v>3.12</v>
      </c>
      <c r="GE22">
        <v>230000000000</v>
      </c>
      <c r="GF22">
        <v>50000000000</v>
      </c>
      <c r="GG22">
        <v>140000000000</v>
      </c>
      <c r="GH22">
        <v>70000000000</v>
      </c>
      <c r="GI22">
        <v>20000000000</v>
      </c>
      <c r="GK22">
        <v>10000000000</v>
      </c>
      <c r="GM22">
        <v>20000000</v>
      </c>
      <c r="GN22">
        <v>123000000</v>
      </c>
      <c r="GO22">
        <v>55100000</v>
      </c>
      <c r="GP22">
        <v>18900000</v>
      </c>
      <c r="GR22">
        <v>1000000</v>
      </c>
      <c r="GT22">
        <v>3.2629999999999999</v>
      </c>
      <c r="GU22">
        <v>9849.74</v>
      </c>
      <c r="GV22">
        <v>2.4621</v>
      </c>
      <c r="GW22">
        <v>3.2719999999999998</v>
      </c>
      <c r="GX22">
        <v>9847.56</v>
      </c>
      <c r="GY22">
        <v>2.4573999999999998</v>
      </c>
      <c r="GZ22">
        <v>3.2770000000000001</v>
      </c>
      <c r="HA22">
        <v>3.2770000000000001</v>
      </c>
      <c r="HB22">
        <v>3.2770000000000001</v>
      </c>
      <c r="HC22">
        <v>3.2770000000000001</v>
      </c>
      <c r="HD22">
        <v>10000000000</v>
      </c>
      <c r="HF22">
        <v>10000000000</v>
      </c>
      <c r="HG22">
        <v>120000000000</v>
      </c>
      <c r="HH22">
        <v>3500000000</v>
      </c>
      <c r="HL22">
        <v>1000000</v>
      </c>
      <c r="HM22">
        <v>372000000</v>
      </c>
      <c r="HN22">
        <v>79300000</v>
      </c>
      <c r="HO22">
        <v>-1750000</v>
      </c>
      <c r="HQ22">
        <v>20000000</v>
      </c>
    </row>
    <row r="23" spans="1:225" x14ac:dyDescent="0.3">
      <c r="A23" s="2">
        <v>46063</v>
      </c>
    </row>
    <row r="24" spans="1:225" x14ac:dyDescent="0.3">
      <c r="A24" s="2"/>
    </row>
    <row r="25" spans="1:225" x14ac:dyDescent="0.3">
      <c r="A25" s="2"/>
    </row>
    <row r="26" spans="1:225" x14ac:dyDescent="0.3">
      <c r="A26" s="2"/>
    </row>
    <row r="27" spans="1:225" x14ac:dyDescent="0.3">
      <c r="A27" s="2"/>
    </row>
    <row r="28" spans="1:225" x14ac:dyDescent="0.3">
      <c r="A28" s="2"/>
    </row>
    <row r="29" spans="1:225" x14ac:dyDescent="0.3">
      <c r="A29" s="2"/>
    </row>
    <row r="30" spans="1:225" x14ac:dyDescent="0.3">
      <c r="A30" s="2"/>
    </row>
    <row r="31" spans="1:225" x14ac:dyDescent="0.3">
      <c r="A31" s="2"/>
    </row>
    <row r="32" spans="1:225" x14ac:dyDescent="0.3">
      <c r="A32" s="2"/>
    </row>
    <row r="33" spans="1:1" x14ac:dyDescent="0.3">
      <c r="A33" s="2"/>
    </row>
    <row r="34" spans="1:1" x14ac:dyDescent="0.3">
      <c r="A34" s="2"/>
    </row>
    <row r="35" spans="1:1" x14ac:dyDescent="0.3">
      <c r="A35" s="2"/>
    </row>
    <row r="36" spans="1:1" x14ac:dyDescent="0.3">
      <c r="A36" s="2"/>
    </row>
    <row r="37" spans="1:1" x14ac:dyDescent="0.3">
      <c r="A37" s="2"/>
    </row>
    <row r="38" spans="1:1" x14ac:dyDescent="0.3">
      <c r="A38" s="2"/>
    </row>
    <row r="39" spans="1:1" x14ac:dyDescent="0.3">
      <c r="A39" s="2"/>
    </row>
    <row r="40" spans="1:1" x14ac:dyDescent="0.3">
      <c r="A40" s="2"/>
    </row>
    <row r="41" spans="1:1" x14ac:dyDescent="0.3">
      <c r="A41" s="2"/>
    </row>
    <row r="42" spans="1:1" x14ac:dyDescent="0.3">
      <c r="A42" s="2"/>
    </row>
    <row r="43" spans="1:1" x14ac:dyDescent="0.3">
      <c r="A43" s="2"/>
    </row>
    <row r="44" spans="1:1" x14ac:dyDescent="0.3">
      <c r="A44" s="2"/>
    </row>
    <row r="45" spans="1:1" x14ac:dyDescent="0.3">
      <c r="A45" s="2"/>
    </row>
    <row r="46" spans="1:1" x14ac:dyDescent="0.3">
      <c r="A46" s="2"/>
    </row>
    <row r="47" spans="1:1" x14ac:dyDescent="0.3">
      <c r="A47" s="2"/>
    </row>
    <row r="48" spans="1:1" x14ac:dyDescent="0.3">
      <c r="A48" s="2"/>
    </row>
    <row r="49" spans="1:1" x14ac:dyDescent="0.3">
      <c r="A49" s="2"/>
    </row>
    <row r="50" spans="1:1" x14ac:dyDescent="0.3">
      <c r="A50" s="2"/>
    </row>
    <row r="51" spans="1:1" x14ac:dyDescent="0.3">
      <c r="A51" s="2"/>
    </row>
    <row r="52" spans="1:1" x14ac:dyDescent="0.3">
      <c r="A52" s="2"/>
    </row>
    <row r="53" spans="1:1" x14ac:dyDescent="0.3">
      <c r="A53" s="2"/>
    </row>
    <row r="54" spans="1:1" x14ac:dyDescent="0.3">
      <c r="A54" s="2"/>
    </row>
    <row r="55" spans="1:1" x14ac:dyDescent="0.3">
      <c r="A55" s="2"/>
    </row>
    <row r="56" spans="1:1" x14ac:dyDescent="0.3">
      <c r="A56" s="2"/>
    </row>
    <row r="57" spans="1:1" x14ac:dyDescent="0.3">
      <c r="A57" s="2"/>
    </row>
    <row r="58" spans="1:1" x14ac:dyDescent="0.3">
      <c r="A58" s="2"/>
    </row>
    <row r="59" spans="1:1" x14ac:dyDescent="0.3">
      <c r="A59" s="2"/>
    </row>
    <row r="60" spans="1:1" x14ac:dyDescent="0.3">
      <c r="A60" s="2"/>
    </row>
    <row r="61" spans="1:1" x14ac:dyDescent="0.3">
      <c r="A61" s="2"/>
    </row>
    <row r="62" spans="1:1" x14ac:dyDescent="0.3">
      <c r="A62" s="2"/>
    </row>
    <row r="63" spans="1:1" x14ac:dyDescent="0.3">
      <c r="A63" s="2"/>
    </row>
    <row r="64" spans="1:1" x14ac:dyDescent="0.3">
      <c r="A64" s="2"/>
    </row>
    <row r="65" spans="1:1" x14ac:dyDescent="0.3">
      <c r="A65" s="2"/>
    </row>
    <row r="66" spans="1:1" x14ac:dyDescent="0.3">
      <c r="A66" s="2"/>
    </row>
    <row r="67" spans="1:1" x14ac:dyDescent="0.3">
      <c r="A67" s="2"/>
    </row>
    <row r="68" spans="1:1" x14ac:dyDescent="0.3">
      <c r="A68" s="2"/>
    </row>
    <row r="69" spans="1:1" x14ac:dyDescent="0.3">
      <c r="A69" s="2"/>
    </row>
    <row r="70" spans="1:1" x14ac:dyDescent="0.3">
      <c r="A70" s="2"/>
    </row>
    <row r="71" spans="1:1" x14ac:dyDescent="0.3">
      <c r="A71" s="2"/>
    </row>
    <row r="72" spans="1:1" x14ac:dyDescent="0.3">
      <c r="A72" s="2"/>
    </row>
    <row r="73" spans="1:1" x14ac:dyDescent="0.3">
      <c r="A73" s="2"/>
    </row>
    <row r="74" spans="1:1" x14ac:dyDescent="0.3">
      <c r="A74" s="2"/>
    </row>
    <row r="75" spans="1:1" x14ac:dyDescent="0.3">
      <c r="A75" s="2"/>
    </row>
    <row r="76" spans="1:1" x14ac:dyDescent="0.3">
      <c r="A76" s="2"/>
    </row>
    <row r="77" spans="1:1" x14ac:dyDescent="0.3">
      <c r="A77" s="2"/>
    </row>
    <row r="78" spans="1:1" x14ac:dyDescent="0.3">
      <c r="A78" s="2"/>
    </row>
    <row r="79" spans="1:1" x14ac:dyDescent="0.3">
      <c r="A79" s="2"/>
    </row>
    <row r="80" spans="1:1" x14ac:dyDescent="0.3">
      <c r="A80" s="2"/>
    </row>
    <row r="81" spans="1:1" x14ac:dyDescent="0.3">
      <c r="A81" s="2"/>
    </row>
    <row r="82" spans="1:1" x14ac:dyDescent="0.3">
      <c r="A82" s="2"/>
    </row>
    <row r="83" spans="1:1" x14ac:dyDescent="0.3">
      <c r="A83" s="2"/>
    </row>
    <row r="84" spans="1:1" x14ac:dyDescent="0.3">
      <c r="A84" s="2"/>
    </row>
    <row r="85" spans="1:1" x14ac:dyDescent="0.3">
      <c r="A85" s="2"/>
    </row>
    <row r="86" spans="1:1" x14ac:dyDescent="0.3">
      <c r="A86" s="2"/>
    </row>
    <row r="87" spans="1:1" x14ac:dyDescent="0.3">
      <c r="A87" s="2"/>
    </row>
    <row r="88" spans="1:1" x14ac:dyDescent="0.3">
      <c r="A88" s="2"/>
    </row>
    <row r="89" spans="1:1" x14ac:dyDescent="0.3">
      <c r="A89" s="2"/>
    </row>
    <row r="90" spans="1:1" x14ac:dyDescent="0.3">
      <c r="A90" s="2"/>
    </row>
    <row r="91" spans="1:1" x14ac:dyDescent="0.3">
      <c r="A91" s="2"/>
    </row>
    <row r="92" spans="1:1" x14ac:dyDescent="0.3">
      <c r="A92" s="2"/>
    </row>
    <row r="93" spans="1:1" x14ac:dyDescent="0.3">
      <c r="A93" s="2"/>
    </row>
    <row r="94" spans="1:1" x14ac:dyDescent="0.3">
      <c r="A94" s="2"/>
    </row>
    <row r="95" spans="1:1" x14ac:dyDescent="0.3">
      <c r="A95" s="2"/>
    </row>
    <row r="96" spans="1:1" x14ac:dyDescent="0.3">
      <c r="A96" s="2"/>
    </row>
    <row r="97" spans="1:1" x14ac:dyDescent="0.3">
      <c r="A97" s="2"/>
    </row>
    <row r="98" spans="1:1" x14ac:dyDescent="0.3">
      <c r="A98" s="2"/>
    </row>
    <row r="99" spans="1:1" x14ac:dyDescent="0.3">
      <c r="A99" s="2"/>
    </row>
    <row r="100" spans="1:1" x14ac:dyDescent="0.3">
      <c r="A100" s="2"/>
    </row>
    <row r="101" spans="1:1" x14ac:dyDescent="0.3">
      <c r="A101" s="2"/>
    </row>
    <row r="102" spans="1:1" x14ac:dyDescent="0.3">
      <c r="A102" s="2"/>
    </row>
    <row r="103" spans="1:1" x14ac:dyDescent="0.3">
      <c r="A103" s="2"/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2026-02-09T15:32:48Z</dcterms:created>
  <dcterms:modified xsi:type="dcterms:W3CDTF">2026-02-09T15:36:53Z</dcterms:modified>
</cp:coreProperties>
</file>