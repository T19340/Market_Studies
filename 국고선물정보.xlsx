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Infomax\"/>
    </mc:Choice>
  </mc:AlternateContent>
  <xr:revisionPtr revIDLastSave="0" documentId="8_{4088B6AF-D444-4F55-80ED-DFACA4BC5C40}" xr6:coauthVersionLast="47" xr6:coauthVersionMax="47" xr10:uidLastSave="{00000000-0000-0000-0000-000000000000}"/>
  <bookViews>
    <workbookView xWindow="17850" yWindow="3270" windowWidth="29580" windowHeight="15345" xr2:uid="{F6A7C451-87C4-42F2-BDE5-4501C0429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V2" i="1"/>
  <c r="CX2" i="1"/>
  <c r="AZ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HyunSoo Kim</author>
  </authors>
  <commentList>
    <comment ref="I1" authorId="0" shapeId="0" xr:uid="{C9766C20-DB3E-4F6B-B866-59C50AC13E87}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 xr:uid="{713B5ECE-F2B9-400F-8525-2383250DDA7D}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 xr:uid="{3CFF3AEA-CA22-40D7-AD55-A89F34A81B05}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B3" authorId="0" shapeId="0" xr:uid="{5F44B0D3-D063-4544-B6B5-75126E1EE83B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E3" authorId="0" shapeId="0" xr:uid="{1A4357A5-AD3D-4B4F-AD5E-591266EBAE0F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F3" authorId="0" shapeId="0" xr:uid="{1632302C-D299-49F2-966C-66E96627FC0D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G3" authorId="0" shapeId="0" xr:uid="{727ADCB1-5E9A-4C3F-BF7C-DB334A5C52D0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H3" authorId="0" shapeId="0" xr:uid="{3C011BEF-3494-4EDA-91A2-A0480924A0CD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I3" authorId="0" shapeId="0" xr:uid="{4A0F904D-2088-4B21-8A2D-B72D26C1BA19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J3" authorId="0" shapeId="0" xr:uid="{1CA50AD8-45F8-4CDA-A75A-B85FB0618A09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K3" authorId="0" shapeId="0" xr:uid="{A993C0F0-39F1-4BDD-ACC4-513E76A7E9AA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L3" authorId="0" shapeId="0" xr:uid="{362E228D-7B65-418C-A99E-88C6483588C8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M3" authorId="0" shapeId="0" xr:uid="{AAAF1858-6C9B-492C-BA67-B470008A0E0B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Z3" authorId="0" shapeId="0" xr:uid="{7FA18A12-9954-4A78-89EC-099E1731DC55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C3" authorId="0" shapeId="0" xr:uid="{39652A81-C8DC-4815-A1E9-7144FFC35883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CD3" authorId="0" shapeId="0" xr:uid="{2AF50183-BC6E-4051-A961-58B7A24FF639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CE3" authorId="0" shapeId="0" xr:uid="{114359C4-4E0F-40D3-9C1D-A75750ABA3D3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CF3" authorId="0" shapeId="0" xr:uid="{AC6079A9-79A3-42E9-974D-3FCEBFEE8022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CG3" authorId="0" shapeId="0" xr:uid="{8F92C286-78BD-4024-B760-70EF6D88CA0B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CH3" authorId="0" shapeId="0" xr:uid="{0ACE478E-82A3-4815-9027-E7793E875CC6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CI3" authorId="0" shapeId="0" xr:uid="{3021C6A1-C797-4A54-A197-A62DB86E7EDA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CJ3" authorId="0" shapeId="0" xr:uid="{F4CC7D82-305C-4546-8232-EF9419C732C9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CK3" authorId="0" shapeId="0" xr:uid="{2BC92873-39E5-4736-9220-919D7AF33331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CX3" authorId="0" shapeId="0" xr:uid="{5CA040BD-0905-4E0D-8FE5-88A5E7D73D4D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A3" authorId="0" shapeId="0" xr:uid="{0D430FEC-64AB-4B2E-B2A1-8CAB1FA09F92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B3" authorId="0" shapeId="0" xr:uid="{0B492593-CC90-4A73-947B-4D96F9AA5E81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C3" authorId="0" shapeId="0" xr:uid="{414AF12E-64A1-4104-9D46-ADBB23E9C16A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D3" authorId="0" shapeId="0" xr:uid="{55523316-12BB-4C6F-8D59-EBBE687E3FFA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E3" authorId="0" shapeId="0" xr:uid="{C4CF918E-5CC7-40AA-A3B3-824C752BCCFB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F3" authorId="0" shapeId="0" xr:uid="{ADB03082-DF4F-4607-AD8B-38F3A6BDD7D9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G3" authorId="0" shapeId="0" xr:uid="{0E4A5B75-4701-46FD-A26E-2BFC4E7FF2EA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H3" authorId="0" shapeId="0" xr:uid="{A6CDA12F-F474-452E-BDFB-7BF1E54A4959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I3" authorId="0" shapeId="0" xr:uid="{19F725A6-1B88-4A9C-8D50-C168A7F1A27D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EV3" authorId="0" shapeId="0" xr:uid="{825D7E9A-E12B-4114-A398-CEE86B00A683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Y3" authorId="0" shapeId="0" xr:uid="{1C7DBB70-3754-485B-B971-5C26421D718E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FZ3" authorId="0" shapeId="0" xr:uid="{6A3AC562-0A8A-4488-894D-3C9432EBF65E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GA3" authorId="0" shapeId="0" xr:uid="{41F5CA52-A8A4-44D8-AEB5-E800AFB42AB0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GB3" authorId="0" shapeId="0" xr:uid="{32345C2A-0DB2-42E1-87AC-660A268DAA5B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GC3" authorId="0" shapeId="0" xr:uid="{E5EC0271-A4A4-4D7D-BDF9-3D496E871C68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GD3" authorId="0" shapeId="0" xr:uid="{492B9D65-EBEF-4AFF-BCBD-2C7CE288251A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GE3" authorId="0" shapeId="0" xr:uid="{E40D4E09-73A1-41DC-ADB2-A573081A953C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GF3" authorId="0" shapeId="0" xr:uid="{58A6CE1E-CA47-43B2-86D5-4AA788573E9A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GG3" authorId="0" shapeId="0" xr:uid="{500D4DBA-7491-4CE3-864A-373D27182B91}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</commentList>
</comments>
</file>

<file path=xl/sharedStrings.xml><?xml version="1.0" encoding="utf-8"?>
<sst xmlns="http://schemas.openxmlformats.org/spreadsheetml/2006/main" count="211" uniqueCount="61">
  <si>
    <t>시작</t>
  </si>
  <si>
    <t>종료</t>
  </si>
  <si>
    <t>Data 개수</t>
  </si>
  <si>
    <t>주기</t>
  </si>
  <si>
    <t>일</t>
  </si>
  <si>
    <t>정렬</t>
  </si>
  <si>
    <t>A</t>
  </si>
  <si>
    <t>영업일</t>
  </si>
  <si>
    <t>시세산출</t>
  </si>
  <si>
    <t>종가</t>
  </si>
  <si>
    <t>일자</t>
  </si>
  <si>
    <t>현재가</t>
  </si>
  <si>
    <t>시가</t>
  </si>
  <si>
    <t>고가</t>
  </si>
  <si>
    <t>저가</t>
  </si>
  <si>
    <t>거래량(장전협의포함)</t>
  </si>
  <si>
    <t>선물내재수익률</t>
  </si>
  <si>
    <t>정산가</t>
  </si>
  <si>
    <t>고-저폭</t>
  </si>
  <si>
    <t>평균체결가</t>
  </si>
  <si>
    <t>변동성</t>
  </si>
  <si>
    <t>이론가</t>
  </si>
  <si>
    <t>시장베이시스</t>
  </si>
  <si>
    <t>이론베이시스</t>
  </si>
  <si>
    <t>민평3사이론가</t>
  </si>
  <si>
    <t>저평가</t>
  </si>
  <si>
    <t>이론갭</t>
  </si>
  <si>
    <t>평균선도금리</t>
  </si>
  <si>
    <t>수정듀레이션</t>
  </si>
  <si>
    <t>국채현물가</t>
  </si>
  <si>
    <t>국채현물수익률</t>
  </si>
  <si>
    <t>미결제약정수량</t>
  </si>
  <si>
    <t>미결제약정증감</t>
  </si>
  <si>
    <t>매도성향체결수량</t>
  </si>
  <si>
    <t>매수성향체결수량</t>
  </si>
  <si>
    <t>체결건수</t>
  </si>
  <si>
    <t>매도5단계 호가잔량합</t>
  </si>
  <si>
    <t>매수5단계 호가잔량합</t>
  </si>
  <si>
    <t>매도총건수</t>
  </si>
  <si>
    <t>매수총건수</t>
  </si>
  <si>
    <t>기관순매수수량</t>
  </si>
  <si>
    <t>외국인합순매수수량</t>
  </si>
  <si>
    <t>증권/선물순매수수량</t>
  </si>
  <si>
    <t>투신순매수수량</t>
  </si>
  <si>
    <t>사모펀드순매수수량</t>
  </si>
  <si>
    <t>은행순매수수량</t>
  </si>
  <si>
    <t>보험순매수수량</t>
  </si>
  <si>
    <t>종신금순매수수량</t>
  </si>
  <si>
    <t>연기금순매수수량</t>
  </si>
  <si>
    <t>외국인합매수평균단가</t>
  </si>
  <si>
    <t>외국인합매도평균단가</t>
  </si>
  <si>
    <t>기관매수평균단가</t>
  </si>
  <si>
    <t>기관매도평균단가</t>
  </si>
  <si>
    <t>증권/선물매수평균단가</t>
  </si>
  <si>
    <t>증권/선물매도평균단가</t>
  </si>
  <si>
    <t>투신매수평균단가</t>
  </si>
  <si>
    <t>투신매도평균단가</t>
  </si>
  <si>
    <t>은행매수평균단가</t>
  </si>
  <si>
    <t>은행매도평균단가</t>
  </si>
  <si>
    <t>보험매수평균단가</t>
  </si>
  <si>
    <t>보험매도평균단가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</si>
</sst>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x1.uFJK</stp>
        <stp>11</stp>
        <stp>73962</stp>
        <tr r="A2" s="1"/>
      </tp>
      <tp>
        <v>0</v>
        <stp/>
        <stp>H</stp>
        <stp>x2.uFJK</stp>
        <stp>12</stp>
        <stp>73962</stp>
        <tr r="AZ2" s="1"/>
      </tp>
      <tp>
        <v>0</v>
        <stp/>
        <stp>H</stp>
        <stp>x3.uFJK</stp>
        <stp>13</stp>
        <stp>73962</stp>
        <tr r="CX2" s="1"/>
      </tp>
      <tp>
        <v>0</v>
        <stp/>
        <stp>H</stp>
        <stp>x4.uFJK</stp>
        <stp>14</stp>
        <stp>73962</stp>
        <tr r="EV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F793-3E37-409D-AFD4-B198BDF02EA7}">
  <dimension ref="A1:GS103"/>
  <sheetViews>
    <sheetView tabSelected="1"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201" x14ac:dyDescent="0.3">
      <c r="A1" s="1" t="s">
        <v>0</v>
      </c>
      <c r="B1" s="2">
        <v>46044</v>
      </c>
      <c r="C1" s="1" t="s">
        <v>1</v>
      </c>
      <c r="D1" s="2">
        <f ca="1">TODAY()</f>
        <v>46063</v>
      </c>
      <c r="E1" s="1" t="s">
        <v>2</v>
      </c>
      <c r="F1">
        <v>100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2</v>
      </c>
      <c r="M1" s="1" t="s">
        <v>8</v>
      </c>
      <c r="N1" t="s">
        <v>9</v>
      </c>
    </row>
    <row r="2" spans="1:201" x14ac:dyDescent="0.3">
      <c r="A2" t="str">
        <f ca="1">_xll.IMDH("FUT","C65",A3:AY3,$B$1,$D$1,$F$1,"Per="&amp;$H$1&amp;",sort="&amp;$J$1&amp;",real=false,Bizday="&amp;$L$1&amp;",Quote="&amp;$N$1&amp;",Pos=20,Orient=V,Title=3년국채 연결,DtFmt=1,TmFmt=1,unit=true")</f>
        <v>3년국채 연결</v>
      </c>
      <c r="AZ2" t="str">
        <f ca="1">_xll.IMDH("FUT","C66",AZ3:CW3,$B$1,$D$1,$F$1,"Per="&amp;$H$1&amp;",sort="&amp;$J$1&amp;",real=false,Bizday="&amp;$L$1&amp;",Quote="&amp;$N$1&amp;",Pos=20,Orient=V,Title=5년국채 연결,DtFmt=1,TmFmt=1,unit=true")</f>
        <v>5년국채 연결</v>
      </c>
      <c r="CX2" t="str">
        <f ca="1">_xll.IMDH("FUT","C67",CX3:EU3,$B$1,$D$1,$F$1,"Per="&amp;$H$1&amp;",sort="&amp;$J$1&amp;",real=false,Bizday="&amp;$L$1&amp;",Quote="&amp;$N$1&amp;",Pos=20,Orient=V,Title=10년국채 연결,DtFmt=1,TmFmt=1,unit=true")</f>
        <v>10년국채 연결</v>
      </c>
      <c r="EV2" t="str">
        <f ca="1">_xll.IMDH("FUT","C70",EV3:GS3,$B$1,$D$1,$F$1,"Per="&amp;$H$1&amp;",sort="&amp;$J$1&amp;",real=false,Bizday="&amp;$L$1&amp;",Quote="&amp;$N$1&amp;",Pos=20,Orient=V,Title=30년국채 연결,DtFmt=1,TmFmt=1,unit=true")</f>
        <v>30년국채 연결</v>
      </c>
    </row>
    <row r="3" spans="1:201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4" t="s">
        <v>38</v>
      </c>
      <c r="AD3" s="4" t="s">
        <v>39</v>
      </c>
      <c r="AE3" s="4" t="s">
        <v>40</v>
      </c>
      <c r="AF3" s="4" t="s">
        <v>41</v>
      </c>
      <c r="AG3" s="4" t="s">
        <v>42</v>
      </c>
      <c r="AH3" s="4" t="s">
        <v>43</v>
      </c>
      <c r="AI3" s="4" t="s">
        <v>44</v>
      </c>
      <c r="AJ3" s="4" t="s">
        <v>45</v>
      </c>
      <c r="AK3" s="4" t="s">
        <v>46</v>
      </c>
      <c r="AL3" s="4" t="s">
        <v>47</v>
      </c>
      <c r="AM3" s="4" t="s">
        <v>48</v>
      </c>
      <c r="AN3" s="4" t="s">
        <v>49</v>
      </c>
      <c r="AO3" s="4" t="s">
        <v>50</v>
      </c>
      <c r="AP3" s="4" t="s">
        <v>51</v>
      </c>
      <c r="AQ3" s="4" t="s">
        <v>52</v>
      </c>
      <c r="AR3" s="4" t="s">
        <v>53</v>
      </c>
      <c r="AS3" s="4" t="s">
        <v>54</v>
      </c>
      <c r="AT3" s="4" t="s">
        <v>55</v>
      </c>
      <c r="AU3" s="4" t="s">
        <v>56</v>
      </c>
      <c r="AV3" s="4" t="s">
        <v>57</v>
      </c>
      <c r="AW3" s="4" t="s">
        <v>58</v>
      </c>
      <c r="AX3" s="4" t="s">
        <v>59</v>
      </c>
      <c r="AY3" s="4" t="s">
        <v>60</v>
      </c>
      <c r="AZ3" s="5" t="s">
        <v>11</v>
      </c>
      <c r="BA3" s="5" t="s">
        <v>12</v>
      </c>
      <c r="BB3" s="5" t="s">
        <v>13</v>
      </c>
      <c r="BC3" s="5" t="s">
        <v>14</v>
      </c>
      <c r="BD3" s="5" t="s">
        <v>15</v>
      </c>
      <c r="BE3" s="5" t="s">
        <v>16</v>
      </c>
      <c r="BF3" s="5" t="s">
        <v>17</v>
      </c>
      <c r="BG3" s="5" t="s">
        <v>18</v>
      </c>
      <c r="BH3" s="5" t="s">
        <v>19</v>
      </c>
      <c r="BI3" s="5" t="s">
        <v>20</v>
      </c>
      <c r="BJ3" s="5" t="s">
        <v>21</v>
      </c>
      <c r="BK3" s="5" t="s">
        <v>22</v>
      </c>
      <c r="BL3" s="5" t="s">
        <v>23</v>
      </c>
      <c r="BM3" s="5" t="s">
        <v>24</v>
      </c>
      <c r="BN3" s="5" t="s">
        <v>25</v>
      </c>
      <c r="BO3" s="5" t="s">
        <v>26</v>
      </c>
      <c r="BP3" s="5" t="s">
        <v>27</v>
      </c>
      <c r="BQ3" s="5" t="s">
        <v>28</v>
      </c>
      <c r="BR3" s="5" t="s">
        <v>29</v>
      </c>
      <c r="BS3" s="5" t="s">
        <v>30</v>
      </c>
      <c r="BT3" s="5" t="s">
        <v>31</v>
      </c>
      <c r="BU3" s="5" t="s">
        <v>32</v>
      </c>
      <c r="BV3" s="5" t="s">
        <v>33</v>
      </c>
      <c r="BW3" s="5" t="s">
        <v>34</v>
      </c>
      <c r="BX3" s="5" t="s">
        <v>35</v>
      </c>
      <c r="BY3" s="5" t="s">
        <v>36</v>
      </c>
      <c r="BZ3" s="5" t="s">
        <v>37</v>
      </c>
      <c r="CA3" s="5" t="s">
        <v>38</v>
      </c>
      <c r="CB3" s="5" t="s">
        <v>39</v>
      </c>
      <c r="CC3" s="5" t="s">
        <v>40</v>
      </c>
      <c r="CD3" s="5" t="s">
        <v>41</v>
      </c>
      <c r="CE3" s="5" t="s">
        <v>42</v>
      </c>
      <c r="CF3" s="5" t="s">
        <v>43</v>
      </c>
      <c r="CG3" s="5" t="s">
        <v>44</v>
      </c>
      <c r="CH3" s="5" t="s">
        <v>45</v>
      </c>
      <c r="CI3" s="5" t="s">
        <v>46</v>
      </c>
      <c r="CJ3" s="5" t="s">
        <v>47</v>
      </c>
      <c r="CK3" s="5" t="s">
        <v>48</v>
      </c>
      <c r="CL3" s="5" t="s">
        <v>49</v>
      </c>
      <c r="CM3" s="5" t="s">
        <v>50</v>
      </c>
      <c r="CN3" s="5" t="s">
        <v>51</v>
      </c>
      <c r="CO3" s="5" t="s">
        <v>52</v>
      </c>
      <c r="CP3" s="5" t="s">
        <v>53</v>
      </c>
      <c r="CQ3" s="5" t="s">
        <v>54</v>
      </c>
      <c r="CR3" s="5" t="s">
        <v>55</v>
      </c>
      <c r="CS3" s="5" t="s">
        <v>56</v>
      </c>
      <c r="CT3" s="5" t="s">
        <v>57</v>
      </c>
      <c r="CU3" s="5" t="s">
        <v>58</v>
      </c>
      <c r="CV3" s="5" t="s">
        <v>59</v>
      </c>
      <c r="CW3" s="5" t="s">
        <v>60</v>
      </c>
      <c r="CX3" s="6" t="s">
        <v>11</v>
      </c>
      <c r="CY3" s="6" t="s">
        <v>12</v>
      </c>
      <c r="CZ3" s="6" t="s">
        <v>13</v>
      </c>
      <c r="DA3" s="6" t="s">
        <v>14</v>
      </c>
      <c r="DB3" s="6" t="s">
        <v>15</v>
      </c>
      <c r="DC3" s="6" t="s">
        <v>16</v>
      </c>
      <c r="DD3" s="6" t="s">
        <v>17</v>
      </c>
      <c r="DE3" s="6" t="s">
        <v>18</v>
      </c>
      <c r="DF3" s="6" t="s">
        <v>19</v>
      </c>
      <c r="DG3" s="6" t="s">
        <v>20</v>
      </c>
      <c r="DH3" s="6" t="s">
        <v>21</v>
      </c>
      <c r="DI3" s="6" t="s">
        <v>22</v>
      </c>
      <c r="DJ3" s="6" t="s">
        <v>23</v>
      </c>
      <c r="DK3" s="6" t="s">
        <v>24</v>
      </c>
      <c r="DL3" s="6" t="s">
        <v>25</v>
      </c>
      <c r="DM3" s="6" t="s">
        <v>26</v>
      </c>
      <c r="DN3" s="6" t="s">
        <v>27</v>
      </c>
      <c r="DO3" s="6" t="s">
        <v>28</v>
      </c>
      <c r="DP3" s="6" t="s">
        <v>29</v>
      </c>
      <c r="DQ3" s="6" t="s">
        <v>30</v>
      </c>
      <c r="DR3" s="6" t="s">
        <v>31</v>
      </c>
      <c r="DS3" s="6" t="s">
        <v>32</v>
      </c>
      <c r="DT3" s="6" t="s">
        <v>33</v>
      </c>
      <c r="DU3" s="6" t="s">
        <v>34</v>
      </c>
      <c r="DV3" s="6" t="s">
        <v>35</v>
      </c>
      <c r="DW3" s="6" t="s">
        <v>36</v>
      </c>
      <c r="DX3" s="6" t="s">
        <v>37</v>
      </c>
      <c r="DY3" s="6" t="s">
        <v>38</v>
      </c>
      <c r="DZ3" s="6" t="s">
        <v>39</v>
      </c>
      <c r="EA3" s="6" t="s">
        <v>40</v>
      </c>
      <c r="EB3" s="6" t="s">
        <v>41</v>
      </c>
      <c r="EC3" s="6" t="s">
        <v>42</v>
      </c>
      <c r="ED3" s="6" t="s">
        <v>43</v>
      </c>
      <c r="EE3" s="6" t="s">
        <v>44</v>
      </c>
      <c r="EF3" s="6" t="s">
        <v>45</v>
      </c>
      <c r="EG3" s="6" t="s">
        <v>46</v>
      </c>
      <c r="EH3" s="6" t="s">
        <v>47</v>
      </c>
      <c r="EI3" s="6" t="s">
        <v>48</v>
      </c>
      <c r="EJ3" s="6" t="s">
        <v>49</v>
      </c>
      <c r="EK3" s="6" t="s">
        <v>50</v>
      </c>
      <c r="EL3" s="6" t="s">
        <v>51</v>
      </c>
      <c r="EM3" s="6" t="s">
        <v>52</v>
      </c>
      <c r="EN3" s="6" t="s">
        <v>53</v>
      </c>
      <c r="EO3" s="6" t="s">
        <v>54</v>
      </c>
      <c r="EP3" s="6" t="s">
        <v>55</v>
      </c>
      <c r="EQ3" s="6" t="s">
        <v>56</v>
      </c>
      <c r="ER3" s="6" t="s">
        <v>57</v>
      </c>
      <c r="ES3" s="6" t="s">
        <v>58</v>
      </c>
      <c r="ET3" s="6" t="s">
        <v>59</v>
      </c>
      <c r="EU3" s="6" t="s">
        <v>60</v>
      </c>
      <c r="EV3" s="7" t="s">
        <v>11</v>
      </c>
      <c r="EW3" s="7" t="s">
        <v>12</v>
      </c>
      <c r="EX3" s="7" t="s">
        <v>13</v>
      </c>
      <c r="EY3" s="7" t="s">
        <v>14</v>
      </c>
      <c r="EZ3" s="7" t="s">
        <v>15</v>
      </c>
      <c r="FA3" s="7" t="s">
        <v>16</v>
      </c>
      <c r="FB3" s="7" t="s">
        <v>17</v>
      </c>
      <c r="FC3" s="7" t="s">
        <v>18</v>
      </c>
      <c r="FD3" s="7" t="s">
        <v>19</v>
      </c>
      <c r="FE3" s="7" t="s">
        <v>20</v>
      </c>
      <c r="FF3" s="7" t="s">
        <v>21</v>
      </c>
      <c r="FG3" s="7" t="s">
        <v>22</v>
      </c>
      <c r="FH3" s="7" t="s">
        <v>23</v>
      </c>
      <c r="FI3" s="7" t="s">
        <v>24</v>
      </c>
      <c r="FJ3" s="7" t="s">
        <v>25</v>
      </c>
      <c r="FK3" s="7" t="s">
        <v>26</v>
      </c>
      <c r="FL3" s="7" t="s">
        <v>27</v>
      </c>
      <c r="FM3" s="7" t="s">
        <v>28</v>
      </c>
      <c r="FN3" s="7" t="s">
        <v>29</v>
      </c>
      <c r="FO3" s="7" t="s">
        <v>30</v>
      </c>
      <c r="FP3" s="7" t="s">
        <v>31</v>
      </c>
      <c r="FQ3" s="7" t="s">
        <v>32</v>
      </c>
      <c r="FR3" s="7" t="s">
        <v>33</v>
      </c>
      <c r="FS3" s="7" t="s">
        <v>34</v>
      </c>
      <c r="FT3" s="7" t="s">
        <v>35</v>
      </c>
      <c r="FU3" s="7" t="s">
        <v>36</v>
      </c>
      <c r="FV3" s="7" t="s">
        <v>37</v>
      </c>
      <c r="FW3" s="7" t="s">
        <v>38</v>
      </c>
      <c r="FX3" s="7" t="s">
        <v>39</v>
      </c>
      <c r="FY3" s="7" t="s">
        <v>40</v>
      </c>
      <c r="FZ3" s="7" t="s">
        <v>41</v>
      </c>
      <c r="GA3" s="7" t="s">
        <v>42</v>
      </c>
      <c r="GB3" s="7" t="s">
        <v>43</v>
      </c>
      <c r="GC3" s="7" t="s">
        <v>44</v>
      </c>
      <c r="GD3" s="7" t="s">
        <v>45</v>
      </c>
      <c r="GE3" s="7" t="s">
        <v>46</v>
      </c>
      <c r="GF3" s="7" t="s">
        <v>47</v>
      </c>
      <c r="GG3" s="7" t="s">
        <v>48</v>
      </c>
      <c r="GH3" s="7" t="s">
        <v>49</v>
      </c>
      <c r="GI3" s="7" t="s">
        <v>50</v>
      </c>
      <c r="GJ3" s="7" t="s">
        <v>51</v>
      </c>
      <c r="GK3" s="7" t="s">
        <v>52</v>
      </c>
      <c r="GL3" s="7" t="s">
        <v>53</v>
      </c>
      <c r="GM3" s="7" t="s">
        <v>54</v>
      </c>
      <c r="GN3" s="7" t="s">
        <v>55</v>
      </c>
      <c r="GO3" s="7" t="s">
        <v>56</v>
      </c>
      <c r="GP3" s="7" t="s">
        <v>57</v>
      </c>
      <c r="GQ3" s="7" t="s">
        <v>58</v>
      </c>
      <c r="GR3" s="7" t="s">
        <v>59</v>
      </c>
      <c r="GS3" s="7" t="s">
        <v>60</v>
      </c>
    </row>
    <row r="4" spans="1:201" x14ac:dyDescent="0.3">
      <c r="A4" s="2">
        <v>46044</v>
      </c>
      <c r="C4">
        <v>105.02</v>
      </c>
      <c r="D4">
        <v>105.09</v>
      </c>
      <c r="E4">
        <v>104.9</v>
      </c>
      <c r="F4">
        <v>231494</v>
      </c>
      <c r="G4">
        <v>3.22</v>
      </c>
      <c r="H4">
        <v>105.05</v>
      </c>
      <c r="I4">
        <v>0.19</v>
      </c>
      <c r="J4">
        <v>104.99</v>
      </c>
      <c r="K4">
        <v>0.68</v>
      </c>
      <c r="L4">
        <v>105.233</v>
      </c>
      <c r="M4">
        <v>-0.26600000000000001</v>
      </c>
      <c r="N4">
        <v>-0.08</v>
      </c>
      <c r="O4">
        <v>105.242</v>
      </c>
      <c r="P4">
        <v>-0.183</v>
      </c>
      <c r="Q4">
        <v>0.186</v>
      </c>
      <c r="R4">
        <v>3.1579999999999999</v>
      </c>
      <c r="S4">
        <v>2.7831000000000001</v>
      </c>
      <c r="T4">
        <v>105.316</v>
      </c>
      <c r="U4">
        <v>3.13</v>
      </c>
      <c r="V4">
        <v>622531</v>
      </c>
      <c r="W4">
        <v>-8957</v>
      </c>
      <c r="X4">
        <v>110024</v>
      </c>
      <c r="Y4">
        <v>121220</v>
      </c>
      <c r="Z4">
        <v>7097</v>
      </c>
      <c r="AA4">
        <v>5574</v>
      </c>
      <c r="AB4">
        <v>2089</v>
      </c>
      <c r="AC4">
        <v>313</v>
      </c>
      <c r="AD4">
        <v>354</v>
      </c>
      <c r="AE4">
        <v>14996</v>
      </c>
      <c r="AF4">
        <v>-14692</v>
      </c>
      <c r="AG4">
        <v>13709</v>
      </c>
      <c r="AH4">
        <v>703</v>
      </c>
      <c r="AJ4">
        <v>-295</v>
      </c>
      <c r="AK4">
        <v>594</v>
      </c>
      <c r="AL4">
        <v>200</v>
      </c>
      <c r="AM4">
        <v>85</v>
      </c>
      <c r="AN4">
        <v>104.995337298</v>
      </c>
      <c r="AO4">
        <v>104.99733906100001</v>
      </c>
      <c r="AP4">
        <v>104.997867474</v>
      </c>
      <c r="AQ4">
        <v>104.995778817</v>
      </c>
      <c r="AR4">
        <v>104.997447236</v>
      </c>
      <c r="AS4">
        <v>104.99891900599999</v>
      </c>
      <c r="AT4">
        <v>105.00250691700001</v>
      </c>
      <c r="AU4">
        <v>105.00647596100001</v>
      </c>
      <c r="AV4">
        <v>104.99509560600001</v>
      </c>
      <c r="AW4">
        <v>104.978402157</v>
      </c>
      <c r="AX4">
        <v>105.040902256</v>
      </c>
      <c r="AY4">
        <v>104.999275029</v>
      </c>
      <c r="AZ4">
        <v>106.85</v>
      </c>
      <c r="BA4">
        <v>106.85</v>
      </c>
      <c r="BB4">
        <v>106.85</v>
      </c>
      <c r="BC4">
        <v>106.85</v>
      </c>
      <c r="BD4">
        <v>0</v>
      </c>
      <c r="BE4">
        <v>3.4950000000000001</v>
      </c>
      <c r="BF4">
        <v>107.09</v>
      </c>
      <c r="BG4">
        <v>0</v>
      </c>
      <c r="BJ4">
        <v>107.238</v>
      </c>
      <c r="BK4">
        <v>-0.53100000000000003</v>
      </c>
      <c r="BL4">
        <v>-0.13800000000000001</v>
      </c>
      <c r="BM4">
        <v>107.262</v>
      </c>
      <c r="BN4">
        <v>-0.38800000000000001</v>
      </c>
      <c r="BO4">
        <v>0.39300000000000002</v>
      </c>
      <c r="BP4">
        <v>3.4129999999999998</v>
      </c>
      <c r="BQ4">
        <v>4.4282000000000004</v>
      </c>
      <c r="BR4">
        <v>107.381</v>
      </c>
      <c r="BS4">
        <v>3.383</v>
      </c>
      <c r="BT4">
        <v>30</v>
      </c>
      <c r="BU4">
        <v>0</v>
      </c>
      <c r="BV4">
        <v>0</v>
      </c>
      <c r="BW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111.35</v>
      </c>
      <c r="CY4">
        <v>111.17</v>
      </c>
      <c r="CZ4">
        <v>111.35</v>
      </c>
      <c r="DA4">
        <v>110.88</v>
      </c>
      <c r="DB4">
        <v>108368</v>
      </c>
      <c r="DC4">
        <v>3.6360000000000001</v>
      </c>
      <c r="DD4">
        <v>111.35</v>
      </c>
      <c r="DE4">
        <v>0.47</v>
      </c>
      <c r="DF4">
        <v>111.1</v>
      </c>
      <c r="DG4">
        <v>1.52</v>
      </c>
      <c r="DH4">
        <v>111.626</v>
      </c>
      <c r="DI4">
        <v>-0.44</v>
      </c>
      <c r="DJ4">
        <v>-0.156</v>
      </c>
      <c r="DK4">
        <v>111.67</v>
      </c>
      <c r="DL4">
        <v>-0.27600000000000002</v>
      </c>
      <c r="DM4">
        <v>0.28399999999999997</v>
      </c>
      <c r="DN4">
        <v>3.605</v>
      </c>
      <c r="DO4">
        <v>7.9686000000000003</v>
      </c>
      <c r="DP4">
        <v>111.79</v>
      </c>
      <c r="DQ4">
        <v>3.5870000000000002</v>
      </c>
      <c r="DR4">
        <v>287359</v>
      </c>
      <c r="DS4">
        <v>-1625</v>
      </c>
      <c r="DT4">
        <v>52484</v>
      </c>
      <c r="DU4">
        <v>54434</v>
      </c>
      <c r="DV4">
        <v>21689</v>
      </c>
      <c r="DW4">
        <v>894</v>
      </c>
      <c r="DX4">
        <v>75</v>
      </c>
      <c r="DY4">
        <v>406</v>
      </c>
      <c r="DZ4">
        <v>266</v>
      </c>
      <c r="EA4">
        <v>5531</v>
      </c>
      <c r="EB4">
        <v>-5292</v>
      </c>
      <c r="EC4">
        <v>4299</v>
      </c>
      <c r="ED4">
        <v>324</v>
      </c>
      <c r="EF4">
        <v>1569</v>
      </c>
      <c r="EG4">
        <v>-582</v>
      </c>
      <c r="EH4">
        <v>0</v>
      </c>
      <c r="EI4">
        <v>-79</v>
      </c>
      <c r="EJ4">
        <v>111.106178892</v>
      </c>
      <c r="EK4">
        <v>111.11580467</v>
      </c>
      <c r="EL4">
        <v>111.13246865000001</v>
      </c>
      <c r="EM4">
        <v>111.119353065</v>
      </c>
      <c r="EN4">
        <v>111.133158855</v>
      </c>
      <c r="EO4">
        <v>111.11877800800001</v>
      </c>
      <c r="EP4">
        <v>111.22244690700001</v>
      </c>
      <c r="EQ4">
        <v>111.17005428900001</v>
      </c>
      <c r="ER4">
        <v>111.10169228399999</v>
      </c>
      <c r="ES4">
        <v>111.098120752</v>
      </c>
      <c r="ET4">
        <v>111.081927928</v>
      </c>
      <c r="EU4">
        <v>111.127669305</v>
      </c>
      <c r="EV4">
        <v>128.66</v>
      </c>
      <c r="EW4">
        <v>128.47999999999999</v>
      </c>
      <c r="EX4">
        <v>128.69999999999999</v>
      </c>
      <c r="EY4">
        <v>127.94</v>
      </c>
      <c r="EZ4">
        <v>269</v>
      </c>
      <c r="FA4">
        <v>3.4580000000000002</v>
      </c>
      <c r="FB4">
        <v>128.66</v>
      </c>
      <c r="FC4">
        <v>0.76</v>
      </c>
      <c r="FD4">
        <v>128.31</v>
      </c>
      <c r="FE4">
        <v>3.38</v>
      </c>
      <c r="FF4">
        <v>129.02699999999999</v>
      </c>
      <c r="FG4">
        <v>-0.51100000000000001</v>
      </c>
      <c r="FH4">
        <v>-0.14399999999999999</v>
      </c>
      <c r="FI4">
        <v>129.227</v>
      </c>
      <c r="FJ4">
        <v>-0.36699999999999999</v>
      </c>
      <c r="FK4">
        <v>0.36699999999999999</v>
      </c>
      <c r="FL4">
        <v>3.4409999999999998</v>
      </c>
      <c r="FM4">
        <v>17.227599999999999</v>
      </c>
      <c r="FN4">
        <v>129.17099999999999</v>
      </c>
      <c r="FO4">
        <v>3.4340000000000002</v>
      </c>
      <c r="FP4">
        <v>1814</v>
      </c>
      <c r="FQ4">
        <v>78</v>
      </c>
      <c r="FR4">
        <v>103</v>
      </c>
      <c r="FS4">
        <v>166</v>
      </c>
      <c r="FT4">
        <v>57</v>
      </c>
      <c r="FU4">
        <v>0</v>
      </c>
      <c r="FV4">
        <v>2</v>
      </c>
      <c r="FW4">
        <v>0</v>
      </c>
      <c r="FX4">
        <v>2</v>
      </c>
      <c r="FY4">
        <v>2</v>
      </c>
      <c r="FZ4">
        <v>0</v>
      </c>
      <c r="GA4">
        <v>6</v>
      </c>
      <c r="GB4">
        <v>-2</v>
      </c>
      <c r="GD4">
        <v>-50</v>
      </c>
      <c r="GE4">
        <v>48</v>
      </c>
      <c r="GF4">
        <v>0</v>
      </c>
      <c r="GG4">
        <v>0</v>
      </c>
      <c r="GH4">
        <v>0</v>
      </c>
      <c r="GI4">
        <v>0</v>
      </c>
      <c r="GJ4">
        <v>128.241908397</v>
      </c>
      <c r="GK4">
        <v>128.24130769199999</v>
      </c>
      <c r="GL4">
        <v>128.248317757</v>
      </c>
      <c r="GM4">
        <v>128.230288462</v>
      </c>
      <c r="GN4">
        <v>0</v>
      </c>
      <c r="GO4">
        <v>128.41999999999999</v>
      </c>
      <c r="GP4">
        <v>0</v>
      </c>
      <c r="GQ4">
        <v>128.28</v>
      </c>
      <c r="GR4">
        <v>128.21333333300001</v>
      </c>
      <c r="GS4">
        <v>0</v>
      </c>
    </row>
    <row r="5" spans="1:201" x14ac:dyDescent="0.3">
      <c r="A5" s="2">
        <v>46045</v>
      </c>
      <c r="C5">
        <v>105</v>
      </c>
      <c r="D5">
        <v>105.02</v>
      </c>
      <c r="E5">
        <v>104.85</v>
      </c>
      <c r="F5">
        <v>194695</v>
      </c>
      <c r="G5">
        <v>3.2650000000000001</v>
      </c>
      <c r="H5">
        <v>104.92</v>
      </c>
      <c r="I5">
        <v>0.17</v>
      </c>
      <c r="J5">
        <v>104.93</v>
      </c>
      <c r="K5">
        <v>0.55000000000000004</v>
      </c>
      <c r="L5">
        <v>105.142</v>
      </c>
      <c r="M5">
        <v>-0.308</v>
      </c>
      <c r="N5">
        <v>-0.08</v>
      </c>
      <c r="O5">
        <v>105.145</v>
      </c>
      <c r="P5">
        <v>-0.222</v>
      </c>
      <c r="Q5">
        <v>0.22800000000000001</v>
      </c>
      <c r="R5">
        <v>3.1890000000000001</v>
      </c>
      <c r="S5">
        <v>2.7824</v>
      </c>
      <c r="T5">
        <v>105.22799999999999</v>
      </c>
      <c r="U5">
        <v>3.16</v>
      </c>
      <c r="V5">
        <v>632236</v>
      </c>
      <c r="W5">
        <v>9705</v>
      </c>
      <c r="X5">
        <v>94640</v>
      </c>
      <c r="Y5">
        <v>99746</v>
      </c>
      <c r="Z5">
        <v>6419</v>
      </c>
      <c r="AA5">
        <v>3535</v>
      </c>
      <c r="AB5">
        <v>2040</v>
      </c>
      <c r="AC5">
        <v>322</v>
      </c>
      <c r="AD5">
        <v>196</v>
      </c>
      <c r="AE5">
        <v>13693</v>
      </c>
      <c r="AF5">
        <v>-14024</v>
      </c>
      <c r="AG5">
        <v>17221</v>
      </c>
      <c r="AH5">
        <v>955</v>
      </c>
      <c r="AJ5">
        <v>-4300</v>
      </c>
      <c r="AK5">
        <v>-1136</v>
      </c>
      <c r="AL5">
        <v>0</v>
      </c>
      <c r="AM5">
        <v>953</v>
      </c>
      <c r="AN5">
        <v>104.926532533</v>
      </c>
      <c r="AO5">
        <v>104.924833578</v>
      </c>
      <c r="AP5">
        <v>104.921714147</v>
      </c>
      <c r="AQ5">
        <v>104.922917164</v>
      </c>
      <c r="AR5">
        <v>104.923368751</v>
      </c>
      <c r="AS5">
        <v>104.925517872</v>
      </c>
      <c r="AT5">
        <v>104.90462022</v>
      </c>
      <c r="AU5">
        <v>104.89684628000001</v>
      </c>
      <c r="AV5">
        <v>104.922812458</v>
      </c>
      <c r="AW5">
        <v>104.92887822199999</v>
      </c>
      <c r="AX5">
        <v>104.939384289</v>
      </c>
      <c r="AY5">
        <v>104.876421904</v>
      </c>
      <c r="AZ5">
        <v>107.01</v>
      </c>
      <c r="BA5">
        <v>106.85</v>
      </c>
      <c r="BB5">
        <v>107.05</v>
      </c>
      <c r="BC5">
        <v>106.85</v>
      </c>
      <c r="BD5">
        <v>50</v>
      </c>
      <c r="BE5">
        <v>3.4609999999999999</v>
      </c>
      <c r="BF5">
        <v>107.01</v>
      </c>
      <c r="BG5">
        <v>0.2</v>
      </c>
      <c r="BH5">
        <v>106.99</v>
      </c>
      <c r="BI5">
        <v>1.1399999999999999</v>
      </c>
      <c r="BJ5">
        <v>107.124</v>
      </c>
      <c r="BK5">
        <v>-0.255</v>
      </c>
      <c r="BL5">
        <v>-0.13600000000000001</v>
      </c>
      <c r="BM5">
        <v>107.134</v>
      </c>
      <c r="BN5">
        <v>-0.114</v>
      </c>
      <c r="BO5">
        <v>0.11899999999999999</v>
      </c>
      <c r="BP5">
        <v>3.4369999999999998</v>
      </c>
      <c r="BQ5">
        <v>4.4292999999999996</v>
      </c>
      <c r="BR5">
        <v>107.265</v>
      </c>
      <c r="BS5">
        <v>3.4079999999999999</v>
      </c>
      <c r="BT5">
        <v>50</v>
      </c>
      <c r="BU5">
        <v>20</v>
      </c>
      <c r="BV5">
        <v>20</v>
      </c>
      <c r="BW5">
        <v>30</v>
      </c>
      <c r="BX5">
        <v>5</v>
      </c>
      <c r="BY5">
        <v>10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106.99</v>
      </c>
      <c r="CO5">
        <v>106.99</v>
      </c>
      <c r="CP5">
        <v>106.99</v>
      </c>
      <c r="CQ5">
        <v>106.99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111.04</v>
      </c>
      <c r="CY5">
        <v>111.2</v>
      </c>
      <c r="CZ5">
        <v>111.28</v>
      </c>
      <c r="DA5">
        <v>110.81</v>
      </c>
      <c r="DB5">
        <v>82205</v>
      </c>
      <c r="DC5">
        <v>3.6709999999999998</v>
      </c>
      <c r="DD5">
        <v>111.04</v>
      </c>
      <c r="DE5">
        <v>0.47</v>
      </c>
      <c r="DF5">
        <v>111.04</v>
      </c>
      <c r="DG5">
        <v>1.64</v>
      </c>
      <c r="DH5">
        <v>111.33199999999999</v>
      </c>
      <c r="DI5">
        <v>-0.45200000000000001</v>
      </c>
      <c r="DJ5">
        <v>-0.16</v>
      </c>
      <c r="DK5">
        <v>111.33199999999999</v>
      </c>
      <c r="DL5">
        <v>-0.29199999999999998</v>
      </c>
      <c r="DM5">
        <v>0.29199999999999998</v>
      </c>
      <c r="DN5">
        <v>3.6379999999999999</v>
      </c>
      <c r="DO5">
        <v>7.9641999999999999</v>
      </c>
      <c r="DP5">
        <v>111.492</v>
      </c>
      <c r="DQ5">
        <v>3.62</v>
      </c>
      <c r="DR5">
        <v>289060</v>
      </c>
      <c r="DS5">
        <v>1701</v>
      </c>
      <c r="DT5">
        <v>40774</v>
      </c>
      <c r="DU5">
        <v>41431</v>
      </c>
      <c r="DV5">
        <v>15899</v>
      </c>
      <c r="DW5">
        <v>844</v>
      </c>
      <c r="DX5">
        <v>302</v>
      </c>
      <c r="DY5">
        <v>436</v>
      </c>
      <c r="DZ5">
        <v>203</v>
      </c>
      <c r="EA5">
        <v>3751</v>
      </c>
      <c r="EB5">
        <v>-3769</v>
      </c>
      <c r="EC5">
        <v>1977</v>
      </c>
      <c r="ED5">
        <v>-1865</v>
      </c>
      <c r="EF5">
        <v>3816</v>
      </c>
      <c r="EG5">
        <v>-202</v>
      </c>
      <c r="EH5">
        <v>0</v>
      </c>
      <c r="EI5">
        <v>25</v>
      </c>
      <c r="EJ5">
        <v>111.027504143</v>
      </c>
      <c r="EK5">
        <v>111.040014095</v>
      </c>
      <c r="EL5">
        <v>111.023291117</v>
      </c>
      <c r="EM5">
        <v>111.006797803</v>
      </c>
      <c r="EN5">
        <v>111.014201531</v>
      </c>
      <c r="EO5">
        <v>111.007002697</v>
      </c>
      <c r="EP5">
        <v>111.014718019</v>
      </c>
      <c r="EQ5">
        <v>110.998183188</v>
      </c>
      <c r="ER5">
        <v>111.062773875</v>
      </c>
      <c r="ES5">
        <v>111.015726098</v>
      </c>
      <c r="ET5">
        <v>111.052953368</v>
      </c>
      <c r="EU5">
        <v>110.99414966000001</v>
      </c>
      <c r="EV5">
        <v>127.76</v>
      </c>
      <c r="EW5">
        <v>128.44</v>
      </c>
      <c r="EX5">
        <v>128.52000000000001</v>
      </c>
      <c r="EY5">
        <v>127.56</v>
      </c>
      <c r="EZ5">
        <v>345</v>
      </c>
      <c r="FA5">
        <v>3.4980000000000002</v>
      </c>
      <c r="FB5">
        <v>127.76</v>
      </c>
      <c r="FC5">
        <v>0.96</v>
      </c>
      <c r="FD5">
        <v>128.08000000000001</v>
      </c>
      <c r="FE5">
        <v>4.71</v>
      </c>
      <c r="FF5">
        <v>128.16300000000001</v>
      </c>
      <c r="FG5">
        <v>-0.55700000000000005</v>
      </c>
      <c r="FH5">
        <v>-0.13200000000000001</v>
      </c>
      <c r="FI5">
        <v>128.339</v>
      </c>
      <c r="FJ5">
        <v>-0.40300000000000002</v>
      </c>
      <c r="FK5">
        <v>0.42499999999999999</v>
      </c>
      <c r="FL5">
        <v>3.48</v>
      </c>
      <c r="FM5">
        <v>17.180299999999999</v>
      </c>
      <c r="FN5">
        <v>128.31700000000001</v>
      </c>
      <c r="FO5">
        <v>3.4729999999999999</v>
      </c>
      <c r="FP5">
        <v>1850</v>
      </c>
      <c r="FQ5">
        <v>36</v>
      </c>
      <c r="FR5">
        <v>202</v>
      </c>
      <c r="FS5">
        <v>143</v>
      </c>
      <c r="FT5">
        <v>87</v>
      </c>
      <c r="FU5">
        <v>21</v>
      </c>
      <c r="FV5">
        <v>11</v>
      </c>
      <c r="FW5">
        <v>14</v>
      </c>
      <c r="FX5">
        <v>2</v>
      </c>
      <c r="FY5">
        <v>-7</v>
      </c>
      <c r="FZ5">
        <v>0</v>
      </c>
      <c r="GA5">
        <v>-57</v>
      </c>
      <c r="GB5">
        <v>0</v>
      </c>
      <c r="GD5">
        <v>50</v>
      </c>
      <c r="GE5">
        <v>0</v>
      </c>
      <c r="GF5">
        <v>0</v>
      </c>
      <c r="GG5">
        <v>0</v>
      </c>
      <c r="GH5">
        <v>0</v>
      </c>
      <c r="GI5">
        <v>0</v>
      </c>
      <c r="GJ5">
        <v>128.10984709499999</v>
      </c>
      <c r="GK5">
        <v>128.10970059900001</v>
      </c>
      <c r="GL5">
        <v>128.162888087</v>
      </c>
      <c r="GM5">
        <v>128.10970059900001</v>
      </c>
      <c r="GN5">
        <v>0</v>
      </c>
      <c r="GO5">
        <v>0</v>
      </c>
      <c r="GP5">
        <v>127.816</v>
      </c>
      <c r="GQ5">
        <v>0</v>
      </c>
      <c r="GR5">
        <v>0</v>
      </c>
      <c r="GS5">
        <v>0</v>
      </c>
    </row>
    <row r="6" spans="1:201" x14ac:dyDescent="0.3">
      <c r="A6" s="2">
        <v>46046</v>
      </c>
      <c r="C6">
        <v>105</v>
      </c>
      <c r="D6">
        <v>105.02</v>
      </c>
      <c r="E6">
        <v>104.85</v>
      </c>
      <c r="F6">
        <v>194695</v>
      </c>
      <c r="G6">
        <v>3.2650000000000001</v>
      </c>
      <c r="H6">
        <v>104.92</v>
      </c>
      <c r="I6">
        <v>0.17</v>
      </c>
      <c r="J6">
        <v>104.93</v>
      </c>
      <c r="K6">
        <v>0.55000000000000004</v>
      </c>
      <c r="L6">
        <v>105.142</v>
      </c>
      <c r="M6">
        <v>-0.308</v>
      </c>
      <c r="N6">
        <v>-0.08</v>
      </c>
      <c r="O6">
        <v>105.145</v>
      </c>
      <c r="P6">
        <v>-0.222</v>
      </c>
      <c r="Q6">
        <v>0.22800000000000001</v>
      </c>
      <c r="R6">
        <v>3.1890000000000001</v>
      </c>
      <c r="S6">
        <v>2.7824</v>
      </c>
      <c r="T6">
        <v>105.22799999999999</v>
      </c>
      <c r="U6">
        <v>3.16</v>
      </c>
      <c r="V6">
        <v>632236</v>
      </c>
      <c r="W6">
        <v>9705</v>
      </c>
      <c r="X6">
        <v>94640</v>
      </c>
      <c r="Y6">
        <v>99746</v>
      </c>
      <c r="Z6">
        <v>6419</v>
      </c>
      <c r="AA6">
        <v>3535</v>
      </c>
      <c r="AB6">
        <v>2040</v>
      </c>
      <c r="AC6">
        <v>322</v>
      </c>
      <c r="AD6">
        <v>196</v>
      </c>
      <c r="AE6">
        <v>13693</v>
      </c>
      <c r="AF6">
        <v>-14024</v>
      </c>
      <c r="AG6">
        <v>17221</v>
      </c>
      <c r="AH6">
        <v>955</v>
      </c>
      <c r="AJ6">
        <v>-4300</v>
      </c>
      <c r="AK6">
        <v>-1136</v>
      </c>
      <c r="AL6">
        <v>0</v>
      </c>
      <c r="AM6">
        <v>953</v>
      </c>
      <c r="AN6">
        <v>104.926532533</v>
      </c>
      <c r="AO6">
        <v>104.924833578</v>
      </c>
      <c r="AP6">
        <v>104.921714147</v>
      </c>
      <c r="AQ6">
        <v>104.922917164</v>
      </c>
      <c r="AR6">
        <v>104.923368751</v>
      </c>
      <c r="AS6">
        <v>104.925517872</v>
      </c>
      <c r="AT6">
        <v>104.90462022</v>
      </c>
      <c r="AU6">
        <v>104.89684628000001</v>
      </c>
      <c r="AV6">
        <v>104.922812458</v>
      </c>
      <c r="AW6">
        <v>104.92887822199999</v>
      </c>
      <c r="AX6">
        <v>104.939384289</v>
      </c>
      <c r="AY6">
        <v>104.876421904</v>
      </c>
      <c r="AZ6">
        <v>107.01</v>
      </c>
      <c r="BA6">
        <v>106.85</v>
      </c>
      <c r="BB6">
        <v>107.05</v>
      </c>
      <c r="BC6">
        <v>106.85</v>
      </c>
      <c r="BD6">
        <v>50</v>
      </c>
      <c r="BE6">
        <v>3.4609999999999999</v>
      </c>
      <c r="BF6">
        <v>107.01</v>
      </c>
      <c r="BG6">
        <v>0.2</v>
      </c>
      <c r="BH6">
        <v>106.99</v>
      </c>
      <c r="BI6">
        <v>1.1399999999999999</v>
      </c>
      <c r="BJ6">
        <v>107.124</v>
      </c>
      <c r="BK6">
        <v>-0.255</v>
      </c>
      <c r="BL6">
        <v>-0.13600000000000001</v>
      </c>
      <c r="BM6">
        <v>107.134</v>
      </c>
      <c r="BN6">
        <v>-0.114</v>
      </c>
      <c r="BO6">
        <v>0.11899999999999999</v>
      </c>
      <c r="BP6">
        <v>3.4369999999999998</v>
      </c>
      <c r="BQ6">
        <v>4.4292999999999996</v>
      </c>
      <c r="BR6">
        <v>107.265</v>
      </c>
      <c r="BS6">
        <v>3.4079999999999999</v>
      </c>
      <c r="BT6">
        <v>50</v>
      </c>
      <c r="BU6">
        <v>20</v>
      </c>
      <c r="BV6">
        <v>20</v>
      </c>
      <c r="BW6">
        <v>30</v>
      </c>
      <c r="BX6">
        <v>5</v>
      </c>
      <c r="BY6">
        <v>10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106.99</v>
      </c>
      <c r="CO6">
        <v>106.99</v>
      </c>
      <c r="CP6">
        <v>106.99</v>
      </c>
      <c r="CQ6">
        <v>106.99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111.04</v>
      </c>
      <c r="CY6">
        <v>111.2</v>
      </c>
      <c r="CZ6">
        <v>111.28</v>
      </c>
      <c r="DA6">
        <v>110.81</v>
      </c>
      <c r="DB6">
        <v>82205</v>
      </c>
      <c r="DC6">
        <v>3.6709999999999998</v>
      </c>
      <c r="DD6">
        <v>111.04</v>
      </c>
      <c r="DE6">
        <v>0.47</v>
      </c>
      <c r="DF6">
        <v>111.04</v>
      </c>
      <c r="DG6">
        <v>1.64</v>
      </c>
      <c r="DH6">
        <v>111.33199999999999</v>
      </c>
      <c r="DI6">
        <v>-0.45200000000000001</v>
      </c>
      <c r="DJ6">
        <v>-0.16</v>
      </c>
      <c r="DK6">
        <v>111.33199999999999</v>
      </c>
      <c r="DL6">
        <v>-0.29199999999999998</v>
      </c>
      <c r="DM6">
        <v>0.29199999999999998</v>
      </c>
      <c r="DN6">
        <v>3.6379999999999999</v>
      </c>
      <c r="DO6">
        <v>7.9641999999999999</v>
      </c>
      <c r="DP6">
        <v>111.492</v>
      </c>
      <c r="DQ6">
        <v>3.62</v>
      </c>
      <c r="DR6">
        <v>289060</v>
      </c>
      <c r="DS6">
        <v>1701</v>
      </c>
      <c r="DT6">
        <v>40774</v>
      </c>
      <c r="DU6">
        <v>41431</v>
      </c>
      <c r="DV6">
        <v>15899</v>
      </c>
      <c r="DW6">
        <v>844</v>
      </c>
      <c r="DX6">
        <v>302</v>
      </c>
      <c r="DY6">
        <v>436</v>
      </c>
      <c r="DZ6">
        <v>203</v>
      </c>
      <c r="EA6">
        <v>3751</v>
      </c>
      <c r="EB6">
        <v>-3769</v>
      </c>
      <c r="EC6">
        <v>1977</v>
      </c>
      <c r="ED6">
        <v>-1865</v>
      </c>
      <c r="EF6">
        <v>3816</v>
      </c>
      <c r="EG6">
        <v>-202</v>
      </c>
      <c r="EH6">
        <v>0</v>
      </c>
      <c r="EI6">
        <v>25</v>
      </c>
      <c r="EJ6">
        <v>111.027504143</v>
      </c>
      <c r="EK6">
        <v>111.040014095</v>
      </c>
      <c r="EL6">
        <v>111.023291117</v>
      </c>
      <c r="EM6">
        <v>111.006797803</v>
      </c>
      <c r="EN6">
        <v>111.014201531</v>
      </c>
      <c r="EO6">
        <v>111.007002697</v>
      </c>
      <c r="EP6">
        <v>111.014718019</v>
      </c>
      <c r="EQ6">
        <v>110.998183188</v>
      </c>
      <c r="ER6">
        <v>111.062773875</v>
      </c>
      <c r="ES6">
        <v>111.015726098</v>
      </c>
      <c r="ET6">
        <v>111.052953368</v>
      </c>
      <c r="EU6">
        <v>110.99414966000001</v>
      </c>
      <c r="EV6">
        <v>127.76</v>
      </c>
      <c r="EW6">
        <v>128.44</v>
      </c>
      <c r="EX6">
        <v>128.52000000000001</v>
      </c>
      <c r="EY6">
        <v>127.56</v>
      </c>
      <c r="EZ6">
        <v>345</v>
      </c>
      <c r="FA6">
        <v>3.4980000000000002</v>
      </c>
      <c r="FB6">
        <v>127.76</v>
      </c>
      <c r="FC6">
        <v>0.96</v>
      </c>
      <c r="FD6">
        <v>128.08000000000001</v>
      </c>
      <c r="FE6">
        <v>4.71</v>
      </c>
      <c r="FF6">
        <v>128.16300000000001</v>
      </c>
      <c r="FG6">
        <v>-0.55700000000000005</v>
      </c>
      <c r="FH6">
        <v>-0.13200000000000001</v>
      </c>
      <c r="FI6">
        <v>128.339</v>
      </c>
      <c r="FJ6">
        <v>-0.40300000000000002</v>
      </c>
      <c r="FK6">
        <v>0.42499999999999999</v>
      </c>
      <c r="FL6">
        <v>3.48</v>
      </c>
      <c r="FM6">
        <v>17.180299999999999</v>
      </c>
      <c r="FN6">
        <v>128.31700000000001</v>
      </c>
      <c r="FO6">
        <v>3.4729999999999999</v>
      </c>
      <c r="FP6">
        <v>1850</v>
      </c>
      <c r="FQ6">
        <v>36</v>
      </c>
      <c r="FR6">
        <v>202</v>
      </c>
      <c r="FS6">
        <v>143</v>
      </c>
      <c r="FT6">
        <v>87</v>
      </c>
      <c r="FU6">
        <v>21</v>
      </c>
      <c r="FV6">
        <v>11</v>
      </c>
      <c r="FW6">
        <v>14</v>
      </c>
      <c r="FX6">
        <v>2</v>
      </c>
      <c r="FY6">
        <v>-7</v>
      </c>
      <c r="FZ6">
        <v>0</v>
      </c>
      <c r="GA6">
        <v>-57</v>
      </c>
      <c r="GB6">
        <v>0</v>
      </c>
      <c r="GD6">
        <v>50</v>
      </c>
      <c r="GE6">
        <v>0</v>
      </c>
      <c r="GF6">
        <v>0</v>
      </c>
      <c r="GG6">
        <v>0</v>
      </c>
      <c r="GH6">
        <v>0</v>
      </c>
      <c r="GI6">
        <v>0</v>
      </c>
      <c r="GJ6">
        <v>128.10984709499999</v>
      </c>
      <c r="GK6">
        <v>128.10970059900001</v>
      </c>
      <c r="GL6">
        <v>128.162888087</v>
      </c>
      <c r="GM6">
        <v>128.10970059900001</v>
      </c>
      <c r="GN6">
        <v>0</v>
      </c>
      <c r="GO6">
        <v>0</v>
      </c>
      <c r="GP6">
        <v>127.816</v>
      </c>
      <c r="GQ6">
        <v>0</v>
      </c>
      <c r="GR6">
        <v>0</v>
      </c>
      <c r="GS6">
        <v>0</v>
      </c>
    </row>
    <row r="7" spans="1:201" x14ac:dyDescent="0.3">
      <c r="A7" s="2">
        <v>46047</v>
      </c>
      <c r="C7">
        <v>105</v>
      </c>
      <c r="D7">
        <v>105.02</v>
      </c>
      <c r="E7">
        <v>104.85</v>
      </c>
      <c r="F7">
        <v>194695</v>
      </c>
      <c r="G7">
        <v>3.2650000000000001</v>
      </c>
      <c r="H7">
        <v>104.92</v>
      </c>
      <c r="I7">
        <v>0.17</v>
      </c>
      <c r="J7">
        <v>104.93</v>
      </c>
      <c r="K7">
        <v>0.55000000000000004</v>
      </c>
      <c r="L7">
        <v>105.142</v>
      </c>
      <c r="M7">
        <v>-0.308</v>
      </c>
      <c r="N7">
        <v>-0.08</v>
      </c>
      <c r="O7">
        <v>105.145</v>
      </c>
      <c r="P7">
        <v>-0.222</v>
      </c>
      <c r="Q7">
        <v>0.22800000000000001</v>
      </c>
      <c r="R7">
        <v>3.1890000000000001</v>
      </c>
      <c r="S7">
        <v>2.7824</v>
      </c>
      <c r="T7">
        <v>105.22799999999999</v>
      </c>
      <c r="U7">
        <v>3.16</v>
      </c>
      <c r="V7">
        <v>632236</v>
      </c>
      <c r="W7">
        <v>9705</v>
      </c>
      <c r="X7">
        <v>94640</v>
      </c>
      <c r="Y7">
        <v>99746</v>
      </c>
      <c r="Z7">
        <v>6419</v>
      </c>
      <c r="AA7">
        <v>3535</v>
      </c>
      <c r="AB7">
        <v>2040</v>
      </c>
      <c r="AC7">
        <v>322</v>
      </c>
      <c r="AD7">
        <v>196</v>
      </c>
      <c r="AE7">
        <v>13693</v>
      </c>
      <c r="AF7">
        <v>-14024</v>
      </c>
      <c r="AG7">
        <v>17221</v>
      </c>
      <c r="AH7">
        <v>955</v>
      </c>
      <c r="AJ7">
        <v>-4300</v>
      </c>
      <c r="AK7">
        <v>-1136</v>
      </c>
      <c r="AL7">
        <v>0</v>
      </c>
      <c r="AM7">
        <v>953</v>
      </c>
      <c r="AN7">
        <v>104.926532533</v>
      </c>
      <c r="AO7">
        <v>104.924833578</v>
      </c>
      <c r="AP7">
        <v>104.921714147</v>
      </c>
      <c r="AQ7">
        <v>104.922917164</v>
      </c>
      <c r="AR7">
        <v>104.923368751</v>
      </c>
      <c r="AS7">
        <v>104.925517872</v>
      </c>
      <c r="AT7">
        <v>104.90462022</v>
      </c>
      <c r="AU7">
        <v>104.89684628000001</v>
      </c>
      <c r="AV7">
        <v>104.922812458</v>
      </c>
      <c r="AW7">
        <v>104.92887822199999</v>
      </c>
      <c r="AX7">
        <v>104.939384289</v>
      </c>
      <c r="AY7">
        <v>104.876421904</v>
      </c>
      <c r="AZ7">
        <v>107.01</v>
      </c>
      <c r="BA7">
        <v>106.85</v>
      </c>
      <c r="BB7">
        <v>107.05</v>
      </c>
      <c r="BC7">
        <v>106.85</v>
      </c>
      <c r="BD7">
        <v>50</v>
      </c>
      <c r="BE7">
        <v>3.4609999999999999</v>
      </c>
      <c r="BF7">
        <v>107.01</v>
      </c>
      <c r="BG7">
        <v>0.2</v>
      </c>
      <c r="BH7">
        <v>106.99</v>
      </c>
      <c r="BI7">
        <v>1.1399999999999999</v>
      </c>
      <c r="BJ7">
        <v>107.124</v>
      </c>
      <c r="BK7">
        <v>-0.255</v>
      </c>
      <c r="BL7">
        <v>-0.13600000000000001</v>
      </c>
      <c r="BM7">
        <v>107.134</v>
      </c>
      <c r="BN7">
        <v>-0.114</v>
      </c>
      <c r="BO7">
        <v>0.11899999999999999</v>
      </c>
      <c r="BP7">
        <v>3.4369999999999998</v>
      </c>
      <c r="BQ7">
        <v>4.4292999999999996</v>
      </c>
      <c r="BR7">
        <v>107.265</v>
      </c>
      <c r="BS7">
        <v>3.4079999999999999</v>
      </c>
      <c r="BT7">
        <v>50</v>
      </c>
      <c r="BU7">
        <v>20</v>
      </c>
      <c r="BV7">
        <v>20</v>
      </c>
      <c r="BW7">
        <v>30</v>
      </c>
      <c r="BX7">
        <v>5</v>
      </c>
      <c r="BY7">
        <v>10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106.99</v>
      </c>
      <c r="CO7">
        <v>106.99</v>
      </c>
      <c r="CP7">
        <v>106.99</v>
      </c>
      <c r="CQ7">
        <v>106.99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111.04</v>
      </c>
      <c r="CY7">
        <v>111.2</v>
      </c>
      <c r="CZ7">
        <v>111.28</v>
      </c>
      <c r="DA7">
        <v>110.81</v>
      </c>
      <c r="DB7">
        <v>82205</v>
      </c>
      <c r="DC7">
        <v>3.6709999999999998</v>
      </c>
      <c r="DD7">
        <v>111.04</v>
      </c>
      <c r="DE7">
        <v>0.47</v>
      </c>
      <c r="DF7">
        <v>111.04</v>
      </c>
      <c r="DG7">
        <v>1.64</v>
      </c>
      <c r="DH7">
        <v>111.33199999999999</v>
      </c>
      <c r="DI7">
        <v>-0.45200000000000001</v>
      </c>
      <c r="DJ7">
        <v>-0.16</v>
      </c>
      <c r="DK7">
        <v>111.33199999999999</v>
      </c>
      <c r="DL7">
        <v>-0.29199999999999998</v>
      </c>
      <c r="DM7">
        <v>0.29199999999999998</v>
      </c>
      <c r="DN7">
        <v>3.6379999999999999</v>
      </c>
      <c r="DO7">
        <v>7.9641999999999999</v>
      </c>
      <c r="DP7">
        <v>111.492</v>
      </c>
      <c r="DQ7">
        <v>3.62</v>
      </c>
      <c r="DR7">
        <v>289060</v>
      </c>
      <c r="DS7">
        <v>1701</v>
      </c>
      <c r="DT7">
        <v>40774</v>
      </c>
      <c r="DU7">
        <v>41431</v>
      </c>
      <c r="DV7">
        <v>15899</v>
      </c>
      <c r="DW7">
        <v>844</v>
      </c>
      <c r="DX7">
        <v>302</v>
      </c>
      <c r="DY7">
        <v>436</v>
      </c>
      <c r="DZ7">
        <v>203</v>
      </c>
      <c r="EA7">
        <v>3751</v>
      </c>
      <c r="EB7">
        <v>-3769</v>
      </c>
      <c r="EC7">
        <v>1977</v>
      </c>
      <c r="ED7">
        <v>-1865</v>
      </c>
      <c r="EF7">
        <v>3816</v>
      </c>
      <c r="EG7">
        <v>-202</v>
      </c>
      <c r="EH7">
        <v>0</v>
      </c>
      <c r="EI7">
        <v>25</v>
      </c>
      <c r="EJ7">
        <v>111.027504143</v>
      </c>
      <c r="EK7">
        <v>111.040014095</v>
      </c>
      <c r="EL7">
        <v>111.023291117</v>
      </c>
      <c r="EM7">
        <v>111.006797803</v>
      </c>
      <c r="EN7">
        <v>111.014201531</v>
      </c>
      <c r="EO7">
        <v>111.007002697</v>
      </c>
      <c r="EP7">
        <v>111.014718019</v>
      </c>
      <c r="EQ7">
        <v>110.998183188</v>
      </c>
      <c r="ER7">
        <v>111.062773875</v>
      </c>
      <c r="ES7">
        <v>111.015726098</v>
      </c>
      <c r="ET7">
        <v>111.052953368</v>
      </c>
      <c r="EU7">
        <v>110.99414966000001</v>
      </c>
      <c r="EV7">
        <v>127.76</v>
      </c>
      <c r="EW7">
        <v>128.44</v>
      </c>
      <c r="EX7">
        <v>128.52000000000001</v>
      </c>
      <c r="EY7">
        <v>127.56</v>
      </c>
      <c r="EZ7">
        <v>345</v>
      </c>
      <c r="FA7">
        <v>3.4980000000000002</v>
      </c>
      <c r="FB7">
        <v>127.76</v>
      </c>
      <c r="FC7">
        <v>0.96</v>
      </c>
      <c r="FD7">
        <v>128.08000000000001</v>
      </c>
      <c r="FE7">
        <v>4.71</v>
      </c>
      <c r="FF7">
        <v>128.16300000000001</v>
      </c>
      <c r="FG7">
        <v>-0.55700000000000005</v>
      </c>
      <c r="FH7">
        <v>-0.13200000000000001</v>
      </c>
      <c r="FI7">
        <v>128.339</v>
      </c>
      <c r="FJ7">
        <v>-0.40300000000000002</v>
      </c>
      <c r="FK7">
        <v>0.42499999999999999</v>
      </c>
      <c r="FL7">
        <v>3.48</v>
      </c>
      <c r="FM7">
        <v>17.180299999999999</v>
      </c>
      <c r="FN7">
        <v>128.31700000000001</v>
      </c>
      <c r="FO7">
        <v>3.4729999999999999</v>
      </c>
      <c r="FP7">
        <v>1850</v>
      </c>
      <c r="FQ7">
        <v>36</v>
      </c>
      <c r="FR7">
        <v>202</v>
      </c>
      <c r="FS7">
        <v>143</v>
      </c>
      <c r="FT7">
        <v>87</v>
      </c>
      <c r="FU7">
        <v>21</v>
      </c>
      <c r="FV7">
        <v>11</v>
      </c>
      <c r="FW7">
        <v>14</v>
      </c>
      <c r="FX7">
        <v>2</v>
      </c>
      <c r="FY7">
        <v>-7</v>
      </c>
      <c r="FZ7">
        <v>0</v>
      </c>
      <c r="GA7">
        <v>-57</v>
      </c>
      <c r="GB7">
        <v>0</v>
      </c>
      <c r="GD7">
        <v>50</v>
      </c>
      <c r="GE7">
        <v>0</v>
      </c>
      <c r="GF7">
        <v>0</v>
      </c>
      <c r="GG7">
        <v>0</v>
      </c>
      <c r="GH7">
        <v>0</v>
      </c>
      <c r="GI7">
        <v>0</v>
      </c>
      <c r="GJ7">
        <v>128.10984709499999</v>
      </c>
      <c r="GK7">
        <v>128.10970059900001</v>
      </c>
      <c r="GL7">
        <v>128.162888087</v>
      </c>
      <c r="GM7">
        <v>128.10970059900001</v>
      </c>
      <c r="GN7">
        <v>0</v>
      </c>
      <c r="GO7">
        <v>0</v>
      </c>
      <c r="GP7">
        <v>127.816</v>
      </c>
      <c r="GQ7">
        <v>0</v>
      </c>
      <c r="GR7">
        <v>0</v>
      </c>
      <c r="GS7">
        <v>0</v>
      </c>
    </row>
    <row r="8" spans="1:201" x14ac:dyDescent="0.3">
      <c r="A8" s="2">
        <v>46048</v>
      </c>
      <c r="C8">
        <v>105.02</v>
      </c>
      <c r="D8">
        <v>105.1</v>
      </c>
      <c r="E8">
        <v>105.02</v>
      </c>
      <c r="F8">
        <v>246718</v>
      </c>
      <c r="G8">
        <v>3.2170000000000001</v>
      </c>
      <c r="H8">
        <v>105.06</v>
      </c>
      <c r="I8">
        <v>0.08</v>
      </c>
      <c r="J8">
        <v>105.06</v>
      </c>
      <c r="K8">
        <v>0.27</v>
      </c>
      <c r="L8">
        <v>105.242</v>
      </c>
      <c r="M8">
        <v>-0.25900000000000001</v>
      </c>
      <c r="N8">
        <v>-6.8000000000000005E-2</v>
      </c>
      <c r="O8">
        <v>105.239</v>
      </c>
      <c r="P8">
        <v>-0.182</v>
      </c>
      <c r="Q8">
        <v>0.191</v>
      </c>
      <c r="R8">
        <v>3.1549999999999998</v>
      </c>
      <c r="S8">
        <v>2.7831999999999999</v>
      </c>
      <c r="T8">
        <v>105.319</v>
      </c>
      <c r="U8">
        <v>3.129</v>
      </c>
      <c r="V8">
        <v>630332</v>
      </c>
      <c r="W8">
        <v>-1904</v>
      </c>
      <c r="X8">
        <v>110609</v>
      </c>
      <c r="Y8">
        <v>136109</v>
      </c>
      <c r="Z8">
        <v>8472</v>
      </c>
      <c r="AA8">
        <v>4327</v>
      </c>
      <c r="AB8">
        <v>7261</v>
      </c>
      <c r="AC8">
        <v>296</v>
      </c>
      <c r="AD8">
        <v>275</v>
      </c>
      <c r="AE8">
        <v>990</v>
      </c>
      <c r="AF8">
        <v>-908</v>
      </c>
      <c r="AG8">
        <v>3246</v>
      </c>
      <c r="AH8">
        <v>-309</v>
      </c>
      <c r="AJ8">
        <v>-528</v>
      </c>
      <c r="AK8">
        <v>-484</v>
      </c>
      <c r="AL8">
        <v>0</v>
      </c>
      <c r="AM8">
        <v>-935</v>
      </c>
      <c r="AN8">
        <v>105.06044950899999</v>
      </c>
      <c r="AO8">
        <v>105.06064340099999</v>
      </c>
      <c r="AP8">
        <v>105.061641111</v>
      </c>
      <c r="AQ8">
        <v>105.061385407</v>
      </c>
      <c r="AR8">
        <v>105.06181539400001</v>
      </c>
      <c r="AS8">
        <v>105.06065051100001</v>
      </c>
      <c r="AT8">
        <v>105.061400686</v>
      </c>
      <c r="AU8">
        <v>105.06431904999999</v>
      </c>
      <c r="AV8">
        <v>105.060761281</v>
      </c>
      <c r="AW8">
        <v>105.063709899</v>
      </c>
      <c r="AX8">
        <v>105.065665584</v>
      </c>
      <c r="AY8">
        <v>105.05775454499999</v>
      </c>
      <c r="AZ8">
        <v>108.51</v>
      </c>
      <c r="BA8">
        <v>108.51</v>
      </c>
      <c r="BB8">
        <v>108.51</v>
      </c>
      <c r="BC8">
        <v>108.51</v>
      </c>
      <c r="BD8">
        <v>25</v>
      </c>
      <c r="BE8">
        <v>3.1469999999999998</v>
      </c>
      <c r="BF8">
        <v>108.51</v>
      </c>
      <c r="BG8">
        <v>0</v>
      </c>
      <c r="BH8">
        <v>108.51</v>
      </c>
      <c r="BI8">
        <v>0</v>
      </c>
      <c r="BJ8">
        <v>107.3</v>
      </c>
      <c r="BK8">
        <v>1.081</v>
      </c>
      <c r="BL8">
        <v>-0.124</v>
      </c>
      <c r="BM8">
        <v>107.3</v>
      </c>
      <c r="BN8">
        <v>1.21</v>
      </c>
      <c r="BO8">
        <v>-1.2050000000000001</v>
      </c>
      <c r="BP8">
        <v>3.4</v>
      </c>
      <c r="BQ8">
        <v>4.4402999999999997</v>
      </c>
      <c r="BR8">
        <v>107.429</v>
      </c>
      <c r="BS8">
        <v>3.3730000000000002</v>
      </c>
      <c r="BT8">
        <v>25</v>
      </c>
      <c r="BU8">
        <v>-25</v>
      </c>
      <c r="BV8">
        <v>10</v>
      </c>
      <c r="BW8">
        <v>15</v>
      </c>
      <c r="BX8">
        <v>3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108.51</v>
      </c>
      <c r="CO8">
        <v>108.51</v>
      </c>
      <c r="CP8">
        <v>108.51</v>
      </c>
      <c r="CQ8">
        <v>108.51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111.44</v>
      </c>
      <c r="CY8">
        <v>111.33</v>
      </c>
      <c r="CZ8">
        <v>112.04</v>
      </c>
      <c r="DA8">
        <v>111.23</v>
      </c>
      <c r="DB8">
        <v>98330</v>
      </c>
      <c r="DC8">
        <v>3.6259999999999999</v>
      </c>
      <c r="DD8">
        <v>111.44</v>
      </c>
      <c r="DE8">
        <v>0.81</v>
      </c>
      <c r="DF8">
        <v>111.47</v>
      </c>
      <c r="DG8">
        <v>1.49</v>
      </c>
      <c r="DH8">
        <v>111.697</v>
      </c>
      <c r="DI8">
        <v>-0.40400000000000003</v>
      </c>
      <c r="DJ8">
        <v>-0.13800000000000001</v>
      </c>
      <c r="DK8">
        <v>111.697</v>
      </c>
      <c r="DL8">
        <v>-0.25700000000000001</v>
      </c>
      <c r="DM8">
        <v>0.26600000000000001</v>
      </c>
      <c r="DN8">
        <v>3.597</v>
      </c>
      <c r="DO8">
        <v>7.9699</v>
      </c>
      <c r="DP8">
        <v>111.84399999999999</v>
      </c>
      <c r="DQ8">
        <v>3.58</v>
      </c>
      <c r="DR8">
        <v>287432</v>
      </c>
      <c r="DS8">
        <v>-1628</v>
      </c>
      <c r="DT8">
        <v>50140</v>
      </c>
      <c r="DU8">
        <v>47790</v>
      </c>
      <c r="DV8">
        <v>20239</v>
      </c>
      <c r="DW8">
        <v>189</v>
      </c>
      <c r="DX8">
        <v>556</v>
      </c>
      <c r="DY8">
        <v>497</v>
      </c>
      <c r="DZ8">
        <v>263</v>
      </c>
      <c r="EA8">
        <v>-2705</v>
      </c>
      <c r="EB8">
        <v>2804</v>
      </c>
      <c r="EC8">
        <v>-3680</v>
      </c>
      <c r="ED8">
        <v>-16</v>
      </c>
      <c r="EF8">
        <v>1036</v>
      </c>
      <c r="EG8">
        <v>144</v>
      </c>
      <c r="EH8">
        <v>0</v>
      </c>
      <c r="EI8">
        <v>-189</v>
      </c>
      <c r="EJ8">
        <v>111.46110002499999</v>
      </c>
      <c r="EK8">
        <v>111.460913257</v>
      </c>
      <c r="EL8">
        <v>111.45876122999999</v>
      </c>
      <c r="EM8">
        <v>111.45925016</v>
      </c>
      <c r="EN8">
        <v>111.457727491</v>
      </c>
      <c r="EO8">
        <v>111.455741418</v>
      </c>
      <c r="EP8">
        <v>111.471648262</v>
      </c>
      <c r="EQ8">
        <v>111.440950833</v>
      </c>
      <c r="ER8">
        <v>111.457078086</v>
      </c>
      <c r="ES8">
        <v>111.499723636</v>
      </c>
      <c r="ET8">
        <v>111.45842812799999</v>
      </c>
      <c r="EU8">
        <v>111.472211422</v>
      </c>
      <c r="EV8">
        <v>127.96</v>
      </c>
      <c r="EW8">
        <v>128.30000000000001</v>
      </c>
      <c r="EX8">
        <v>128.6</v>
      </c>
      <c r="EY8">
        <v>127.52</v>
      </c>
      <c r="EZ8">
        <v>342</v>
      </c>
      <c r="FA8">
        <v>3.4889999999999999</v>
      </c>
      <c r="FB8">
        <v>127.96</v>
      </c>
      <c r="FC8">
        <v>1.08</v>
      </c>
      <c r="FD8">
        <v>128.19</v>
      </c>
      <c r="FE8">
        <v>4.05</v>
      </c>
      <c r="FF8">
        <v>128.44999999999999</v>
      </c>
      <c r="FG8">
        <v>-0.623</v>
      </c>
      <c r="FH8">
        <v>-0.13300000000000001</v>
      </c>
      <c r="FI8">
        <v>128.44999999999999</v>
      </c>
      <c r="FJ8">
        <v>-0.49</v>
      </c>
      <c r="FK8">
        <v>0.49</v>
      </c>
      <c r="FL8">
        <v>3.4670000000000001</v>
      </c>
      <c r="FM8">
        <v>17.190799999999999</v>
      </c>
      <c r="FN8">
        <v>128.583</v>
      </c>
      <c r="FO8">
        <v>3.4609999999999999</v>
      </c>
      <c r="FP8">
        <v>1914</v>
      </c>
      <c r="FQ8">
        <v>64</v>
      </c>
      <c r="FR8">
        <v>251</v>
      </c>
      <c r="FS8">
        <v>91</v>
      </c>
      <c r="FT8">
        <v>73</v>
      </c>
      <c r="FU8">
        <v>12</v>
      </c>
      <c r="FV8">
        <v>14</v>
      </c>
      <c r="FW8">
        <v>2</v>
      </c>
      <c r="FX8">
        <v>4</v>
      </c>
      <c r="FY8">
        <v>3</v>
      </c>
      <c r="FZ8">
        <v>0</v>
      </c>
      <c r="GA8">
        <v>42</v>
      </c>
      <c r="GB8">
        <v>10</v>
      </c>
      <c r="GD8">
        <v>-50</v>
      </c>
      <c r="GE8">
        <v>1</v>
      </c>
      <c r="GF8">
        <v>0</v>
      </c>
      <c r="GG8">
        <v>0</v>
      </c>
      <c r="GH8">
        <v>0</v>
      </c>
      <c r="GI8">
        <v>0</v>
      </c>
      <c r="GJ8">
        <v>128.20606811100001</v>
      </c>
      <c r="GK8">
        <v>128.1689375</v>
      </c>
      <c r="GL8">
        <v>128.216575342</v>
      </c>
      <c r="GM8">
        <v>128.11944</v>
      </c>
      <c r="GN8">
        <v>127.91200000000001</v>
      </c>
      <c r="GO8">
        <v>0</v>
      </c>
      <c r="GP8">
        <v>128.22</v>
      </c>
      <c r="GQ8">
        <v>128.345714286</v>
      </c>
      <c r="GR8">
        <v>127.8</v>
      </c>
      <c r="GS8">
        <v>0</v>
      </c>
    </row>
    <row r="9" spans="1:201" x14ac:dyDescent="0.3">
      <c r="A9" s="2">
        <v>46049</v>
      </c>
      <c r="C9">
        <v>105.11</v>
      </c>
      <c r="D9">
        <v>105.12</v>
      </c>
      <c r="E9">
        <v>104.99</v>
      </c>
      <c r="F9">
        <v>172126</v>
      </c>
      <c r="G9">
        <v>3.2069999999999999</v>
      </c>
      <c r="H9">
        <v>105.09</v>
      </c>
      <c r="I9">
        <v>0.13</v>
      </c>
      <c r="J9">
        <v>105.04</v>
      </c>
      <c r="K9">
        <v>0.43</v>
      </c>
      <c r="L9">
        <v>105.242</v>
      </c>
      <c r="M9">
        <v>-0.22600000000000001</v>
      </c>
      <c r="N9">
        <v>-7.3999999999999996E-2</v>
      </c>
      <c r="O9">
        <v>105.239</v>
      </c>
      <c r="P9">
        <v>-0.152</v>
      </c>
      <c r="Q9">
        <v>0.152</v>
      </c>
      <c r="R9">
        <v>3.1560000000000001</v>
      </c>
      <c r="S9">
        <v>2.7833999999999999</v>
      </c>
      <c r="T9">
        <v>105.316</v>
      </c>
      <c r="U9">
        <v>3.13</v>
      </c>
      <c r="V9">
        <v>622729</v>
      </c>
      <c r="W9">
        <v>-7603</v>
      </c>
      <c r="X9">
        <v>89665</v>
      </c>
      <c r="Y9">
        <v>82461</v>
      </c>
      <c r="Z9">
        <v>6058</v>
      </c>
      <c r="AA9">
        <v>4148</v>
      </c>
      <c r="AB9">
        <v>5067</v>
      </c>
      <c r="AC9">
        <v>246</v>
      </c>
      <c r="AD9">
        <v>283</v>
      </c>
      <c r="AE9">
        <v>198</v>
      </c>
      <c r="AF9">
        <v>-306</v>
      </c>
      <c r="AG9">
        <v>-995</v>
      </c>
      <c r="AH9">
        <v>1037</v>
      </c>
      <c r="AJ9">
        <v>-1288</v>
      </c>
      <c r="AK9">
        <v>1315</v>
      </c>
      <c r="AL9">
        <v>0</v>
      </c>
      <c r="AM9">
        <v>129</v>
      </c>
      <c r="AN9">
        <v>105.046144778</v>
      </c>
      <c r="AO9">
        <v>105.04297876299999</v>
      </c>
      <c r="AP9">
        <v>105.04713957200001</v>
      </c>
      <c r="AQ9">
        <v>105.050405922</v>
      </c>
      <c r="AR9">
        <v>105.05109230399999</v>
      </c>
      <c r="AS9">
        <v>105.048277349</v>
      </c>
      <c r="AT9">
        <v>105.056841652</v>
      </c>
      <c r="AU9">
        <v>105.061614511</v>
      </c>
      <c r="AV9">
        <v>105.036110403</v>
      </c>
      <c r="AW9">
        <v>105.052800293</v>
      </c>
      <c r="AX9">
        <v>105.05272623800001</v>
      </c>
      <c r="AY9">
        <v>105.08061085999999</v>
      </c>
      <c r="AZ9">
        <v>108.51</v>
      </c>
      <c r="BA9">
        <v>108.51</v>
      </c>
      <c r="BB9">
        <v>108.51</v>
      </c>
      <c r="BC9">
        <v>108.51</v>
      </c>
      <c r="BD9">
        <v>0</v>
      </c>
      <c r="BE9">
        <v>3.1469999999999998</v>
      </c>
      <c r="BF9">
        <v>107.28</v>
      </c>
      <c r="BG9">
        <v>0</v>
      </c>
      <c r="BH9">
        <v>108.51</v>
      </c>
      <c r="BI9">
        <v>0</v>
      </c>
      <c r="BJ9">
        <v>107.32899999999999</v>
      </c>
      <c r="BK9">
        <v>1.0549999999999999</v>
      </c>
      <c r="BL9">
        <v>-0.122</v>
      </c>
      <c r="BM9">
        <v>107.333</v>
      </c>
      <c r="BN9">
        <v>1.181</v>
      </c>
      <c r="BO9">
        <v>-1.177</v>
      </c>
      <c r="BP9">
        <v>3.3940000000000001</v>
      </c>
      <c r="BQ9">
        <v>4.4402999999999997</v>
      </c>
      <c r="BR9">
        <v>107.455</v>
      </c>
      <c r="BS9">
        <v>3.3679999999999999</v>
      </c>
      <c r="BT9">
        <v>25</v>
      </c>
      <c r="BU9">
        <v>0</v>
      </c>
      <c r="BV9">
        <v>0</v>
      </c>
      <c r="BW9">
        <v>0</v>
      </c>
      <c r="BX9">
        <v>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111.65</v>
      </c>
      <c r="CY9">
        <v>111.69</v>
      </c>
      <c r="CZ9">
        <v>111.71</v>
      </c>
      <c r="DA9">
        <v>111.31</v>
      </c>
      <c r="DB9">
        <v>89563</v>
      </c>
      <c r="DC9">
        <v>3.6019999999999999</v>
      </c>
      <c r="DD9">
        <v>111.65</v>
      </c>
      <c r="DE9">
        <v>0.4</v>
      </c>
      <c r="DF9">
        <v>111.52</v>
      </c>
      <c r="DG9">
        <v>1.28</v>
      </c>
      <c r="DH9">
        <v>111.83</v>
      </c>
      <c r="DI9">
        <v>-0.31900000000000001</v>
      </c>
      <c r="DJ9">
        <v>-0.13900000000000001</v>
      </c>
      <c r="DK9">
        <v>111.83</v>
      </c>
      <c r="DL9">
        <v>-0.18</v>
      </c>
      <c r="DM9">
        <v>0.18</v>
      </c>
      <c r="DN9">
        <v>3.5830000000000002</v>
      </c>
      <c r="DO9">
        <v>7.9728000000000003</v>
      </c>
      <c r="DP9">
        <v>111.96899999999999</v>
      </c>
      <c r="DQ9">
        <v>3.5670000000000002</v>
      </c>
      <c r="DR9">
        <v>285062</v>
      </c>
      <c r="DS9">
        <v>-2370</v>
      </c>
      <c r="DT9">
        <v>46310</v>
      </c>
      <c r="DU9">
        <v>43093</v>
      </c>
      <c r="DV9">
        <v>16595</v>
      </c>
      <c r="DW9">
        <v>1282</v>
      </c>
      <c r="DX9">
        <v>228</v>
      </c>
      <c r="DY9">
        <v>436</v>
      </c>
      <c r="DZ9">
        <v>364</v>
      </c>
      <c r="EA9">
        <v>-4452</v>
      </c>
      <c r="EB9">
        <v>4909</v>
      </c>
      <c r="EC9">
        <v>-460</v>
      </c>
      <c r="ED9">
        <v>-1466</v>
      </c>
      <c r="EF9">
        <v>-1967</v>
      </c>
      <c r="EG9">
        <v>-397</v>
      </c>
      <c r="EH9">
        <v>0</v>
      </c>
      <c r="EI9">
        <v>-162</v>
      </c>
      <c r="EJ9">
        <v>111.52531865</v>
      </c>
      <c r="EK9">
        <v>111.523836768</v>
      </c>
      <c r="EL9">
        <v>111.534346279</v>
      </c>
      <c r="EM9">
        <v>111.53302045</v>
      </c>
      <c r="EN9">
        <v>111.537555462</v>
      </c>
      <c r="EO9">
        <v>111.534091413</v>
      </c>
      <c r="EP9">
        <v>111.562865636</v>
      </c>
      <c r="EQ9">
        <v>111.57200762399999</v>
      </c>
      <c r="ER9">
        <v>111.507125788</v>
      </c>
      <c r="ES9">
        <v>111.51209808599999</v>
      </c>
      <c r="ET9">
        <v>111.54680761100001</v>
      </c>
      <c r="EU9">
        <v>111.53428735599999</v>
      </c>
      <c r="EV9">
        <v>128.4</v>
      </c>
      <c r="EW9">
        <v>128.19999999999999</v>
      </c>
      <c r="EX9">
        <v>128.63999999999999</v>
      </c>
      <c r="EY9">
        <v>127.98</v>
      </c>
      <c r="EZ9">
        <v>247</v>
      </c>
      <c r="FA9">
        <v>3.4689999999999999</v>
      </c>
      <c r="FB9">
        <v>128.4</v>
      </c>
      <c r="FC9">
        <v>0.66</v>
      </c>
      <c r="FD9">
        <v>128.26</v>
      </c>
      <c r="FE9">
        <v>2.87</v>
      </c>
      <c r="FF9">
        <v>128.738</v>
      </c>
      <c r="FG9">
        <v>-0.46</v>
      </c>
      <c r="FH9">
        <v>-0.122</v>
      </c>
      <c r="FI9">
        <v>128.78200000000001</v>
      </c>
      <c r="FJ9">
        <v>-0.33800000000000002</v>
      </c>
      <c r="FK9">
        <v>0.33800000000000002</v>
      </c>
      <c r="FL9">
        <v>3.4540000000000002</v>
      </c>
      <c r="FM9">
        <v>17.213999999999999</v>
      </c>
      <c r="FN9">
        <v>128.86000000000001</v>
      </c>
      <c r="FO9">
        <v>3.4489999999999998</v>
      </c>
      <c r="FP9">
        <v>1885</v>
      </c>
      <c r="FQ9">
        <v>-29</v>
      </c>
      <c r="FR9">
        <v>65</v>
      </c>
      <c r="FS9">
        <v>182</v>
      </c>
      <c r="FT9">
        <v>59</v>
      </c>
      <c r="FU9">
        <v>23</v>
      </c>
      <c r="FV9">
        <v>123</v>
      </c>
      <c r="FW9">
        <v>7</v>
      </c>
      <c r="FX9">
        <v>6</v>
      </c>
      <c r="FY9">
        <v>-43</v>
      </c>
      <c r="FZ9">
        <v>0</v>
      </c>
      <c r="GA9">
        <v>-44</v>
      </c>
      <c r="GB9">
        <v>0</v>
      </c>
      <c r="GD9">
        <v>0</v>
      </c>
      <c r="GE9">
        <v>1</v>
      </c>
      <c r="GF9">
        <v>0</v>
      </c>
      <c r="GG9">
        <v>0</v>
      </c>
      <c r="GH9">
        <v>0</v>
      </c>
      <c r="GI9">
        <v>0</v>
      </c>
      <c r="GJ9">
        <v>128.28603174599999</v>
      </c>
      <c r="GK9">
        <v>128.331465517</v>
      </c>
      <c r="GL9">
        <v>128.286595745</v>
      </c>
      <c r="GM9">
        <v>128.331465517</v>
      </c>
      <c r="GN9">
        <v>0</v>
      </c>
      <c r="GO9">
        <v>0</v>
      </c>
      <c r="GP9">
        <v>0</v>
      </c>
      <c r="GQ9">
        <v>0</v>
      </c>
      <c r="GR9">
        <v>128.18</v>
      </c>
      <c r="GS9">
        <v>0</v>
      </c>
    </row>
    <row r="10" spans="1:201" x14ac:dyDescent="0.3">
      <c r="A10" s="2">
        <v>46050</v>
      </c>
      <c r="C10">
        <v>105.12</v>
      </c>
      <c r="D10">
        <v>105.2</v>
      </c>
      <c r="E10">
        <v>105.07</v>
      </c>
      <c r="F10">
        <v>191271</v>
      </c>
      <c r="G10">
        <v>3.169</v>
      </c>
      <c r="H10">
        <v>105.2</v>
      </c>
      <c r="I10">
        <v>0.13</v>
      </c>
      <c r="J10">
        <v>105.15</v>
      </c>
      <c r="K10">
        <v>0.43</v>
      </c>
      <c r="L10">
        <v>105.303</v>
      </c>
      <c r="M10">
        <v>-0.17799999999999999</v>
      </c>
      <c r="N10">
        <v>-6.9000000000000006E-2</v>
      </c>
      <c r="O10">
        <v>105.303</v>
      </c>
      <c r="P10">
        <v>-0.10299999999999999</v>
      </c>
      <c r="Q10">
        <v>0.109</v>
      </c>
      <c r="R10">
        <v>3.1339999999999999</v>
      </c>
      <c r="S10">
        <v>2.7839999999999998</v>
      </c>
      <c r="T10">
        <v>105.378</v>
      </c>
      <c r="U10">
        <v>3.109</v>
      </c>
      <c r="V10">
        <v>619920</v>
      </c>
      <c r="W10">
        <v>-2809</v>
      </c>
      <c r="X10">
        <v>88481</v>
      </c>
      <c r="Y10">
        <v>102790</v>
      </c>
      <c r="Z10">
        <v>6468</v>
      </c>
      <c r="AA10">
        <v>5039</v>
      </c>
      <c r="AB10">
        <v>3331</v>
      </c>
      <c r="AC10">
        <v>194</v>
      </c>
      <c r="AD10">
        <v>374</v>
      </c>
      <c r="AE10">
        <v>1570</v>
      </c>
      <c r="AF10">
        <v>-1510</v>
      </c>
      <c r="AG10">
        <v>-259</v>
      </c>
      <c r="AH10">
        <v>865</v>
      </c>
      <c r="AJ10">
        <v>1319</v>
      </c>
      <c r="AK10">
        <v>179</v>
      </c>
      <c r="AL10">
        <v>0</v>
      </c>
      <c r="AM10">
        <v>-534</v>
      </c>
      <c r="AN10">
        <v>105.149641751</v>
      </c>
      <c r="AO10">
        <v>105.15002434100001</v>
      </c>
      <c r="AP10">
        <v>105.152567643</v>
      </c>
      <c r="AQ10">
        <v>105.15192309299999</v>
      </c>
      <c r="AR10">
        <v>105.15038517799999</v>
      </c>
      <c r="AS10">
        <v>105.15296283399999</v>
      </c>
      <c r="AT10">
        <v>105.16392075100001</v>
      </c>
      <c r="AU10">
        <v>105.15405598</v>
      </c>
      <c r="AV10">
        <v>105.155841627</v>
      </c>
      <c r="AW10">
        <v>105.148028794</v>
      </c>
      <c r="AX10">
        <v>105.149848156</v>
      </c>
      <c r="AY10">
        <v>105.179397163</v>
      </c>
      <c r="AZ10">
        <v>107.28</v>
      </c>
      <c r="BA10">
        <v>107.28</v>
      </c>
      <c r="BB10">
        <v>107.28</v>
      </c>
      <c r="BC10">
        <v>107.28</v>
      </c>
      <c r="BD10">
        <v>0</v>
      </c>
      <c r="BE10">
        <v>3.4039999999999999</v>
      </c>
      <c r="BF10">
        <v>107.4</v>
      </c>
      <c r="BG10">
        <v>0</v>
      </c>
      <c r="BH10">
        <v>108.51</v>
      </c>
      <c r="BI10">
        <v>0</v>
      </c>
      <c r="BJ10">
        <v>107.443</v>
      </c>
      <c r="BK10">
        <v>-0.28199999999999997</v>
      </c>
      <c r="BL10">
        <v>-0.114</v>
      </c>
      <c r="BM10">
        <v>107.443</v>
      </c>
      <c r="BN10">
        <v>-0.16300000000000001</v>
      </c>
      <c r="BO10">
        <v>0.16800000000000001</v>
      </c>
      <c r="BP10">
        <v>3.37</v>
      </c>
      <c r="BQ10">
        <v>4.4313000000000002</v>
      </c>
      <c r="BR10">
        <v>107.562</v>
      </c>
      <c r="BS10">
        <v>3.3450000000000002</v>
      </c>
      <c r="BT10">
        <v>25</v>
      </c>
      <c r="BU10">
        <v>0</v>
      </c>
      <c r="BV10">
        <v>0</v>
      </c>
      <c r="BW10">
        <v>0</v>
      </c>
      <c r="BX10">
        <v>3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111.79</v>
      </c>
      <c r="CY10">
        <v>111.62</v>
      </c>
      <c r="CZ10">
        <v>111.87</v>
      </c>
      <c r="DA10">
        <v>111.47</v>
      </c>
      <c r="DB10">
        <v>92584</v>
      </c>
      <c r="DC10">
        <v>3.5870000000000002</v>
      </c>
      <c r="DD10">
        <v>111.79</v>
      </c>
      <c r="DE10">
        <v>0.4</v>
      </c>
      <c r="DF10">
        <v>111.7</v>
      </c>
      <c r="DG10">
        <v>1.33</v>
      </c>
      <c r="DH10">
        <v>111.929</v>
      </c>
      <c r="DI10">
        <v>-0.27700000000000002</v>
      </c>
      <c r="DJ10">
        <v>-0.13800000000000001</v>
      </c>
      <c r="DK10">
        <v>111.893</v>
      </c>
      <c r="DL10">
        <v>-0.13900000000000001</v>
      </c>
      <c r="DM10">
        <v>0.13900000000000001</v>
      </c>
      <c r="DN10">
        <v>3.5710000000000002</v>
      </c>
      <c r="DO10">
        <v>7.9748000000000001</v>
      </c>
      <c r="DP10">
        <v>112.06699999999999</v>
      </c>
      <c r="DQ10">
        <v>3.5550000000000002</v>
      </c>
      <c r="DR10">
        <v>280483</v>
      </c>
      <c r="DS10">
        <v>-4579</v>
      </c>
      <c r="DT10">
        <v>48093</v>
      </c>
      <c r="DU10">
        <v>44491</v>
      </c>
      <c r="DV10">
        <v>14951</v>
      </c>
      <c r="DW10">
        <v>319</v>
      </c>
      <c r="DX10">
        <v>991</v>
      </c>
      <c r="DY10">
        <v>424</v>
      </c>
      <c r="DZ10">
        <v>472</v>
      </c>
      <c r="EA10">
        <v>32</v>
      </c>
      <c r="EB10">
        <v>-139</v>
      </c>
      <c r="EC10">
        <v>1768</v>
      </c>
      <c r="ED10">
        <v>-200</v>
      </c>
      <c r="EF10">
        <v>-1282</v>
      </c>
      <c r="EG10">
        <v>-480</v>
      </c>
      <c r="EH10">
        <v>0</v>
      </c>
      <c r="EI10">
        <v>226</v>
      </c>
      <c r="EJ10">
        <v>111.698756747</v>
      </c>
      <c r="EK10">
        <v>111.703738591</v>
      </c>
      <c r="EL10">
        <v>111.710078404</v>
      </c>
      <c r="EM10">
        <v>111.70363583</v>
      </c>
      <c r="EN10">
        <v>111.707973556</v>
      </c>
      <c r="EO10">
        <v>111.706601097</v>
      </c>
      <c r="EP10">
        <v>111.72910244800001</v>
      </c>
      <c r="EQ10">
        <v>111.73319617600001</v>
      </c>
      <c r="ER10">
        <v>111.71432690899999</v>
      </c>
      <c r="ES10">
        <v>111.679966212</v>
      </c>
      <c r="ET10">
        <v>111.665758242</v>
      </c>
      <c r="EU10">
        <v>111.712299465</v>
      </c>
      <c r="EV10">
        <v>128.6</v>
      </c>
      <c r="EW10">
        <v>128.4</v>
      </c>
      <c r="EX10">
        <v>129</v>
      </c>
      <c r="EY10">
        <v>128.34</v>
      </c>
      <c r="EZ10">
        <v>287</v>
      </c>
      <c r="FA10">
        <v>3.46</v>
      </c>
      <c r="FB10">
        <v>128.6</v>
      </c>
      <c r="FC10">
        <v>0.66</v>
      </c>
      <c r="FD10">
        <v>128.63</v>
      </c>
      <c r="FE10">
        <v>3.01</v>
      </c>
      <c r="FF10">
        <v>128.893</v>
      </c>
      <c r="FG10">
        <v>-0.42699999999999999</v>
      </c>
      <c r="FH10">
        <v>-0.13400000000000001</v>
      </c>
      <c r="FI10">
        <v>128.84899999999999</v>
      </c>
      <c r="FJ10">
        <v>-0.29299999999999998</v>
      </c>
      <c r="FK10">
        <v>0.29299999999999998</v>
      </c>
      <c r="FL10">
        <v>3.4470000000000001</v>
      </c>
      <c r="FM10">
        <v>17.224399999999999</v>
      </c>
      <c r="FN10">
        <v>129.02699999999999</v>
      </c>
      <c r="FO10">
        <v>3.4409999999999998</v>
      </c>
      <c r="FP10">
        <v>1899</v>
      </c>
      <c r="FQ10">
        <v>14</v>
      </c>
      <c r="FR10">
        <v>116</v>
      </c>
      <c r="FS10">
        <v>171</v>
      </c>
      <c r="FT10">
        <v>56</v>
      </c>
      <c r="FU10">
        <v>20</v>
      </c>
      <c r="FV10">
        <v>75</v>
      </c>
      <c r="FW10">
        <v>3</v>
      </c>
      <c r="FX10">
        <v>9</v>
      </c>
      <c r="FY10">
        <v>-7</v>
      </c>
      <c r="FZ10">
        <v>0</v>
      </c>
      <c r="GA10">
        <v>-27</v>
      </c>
      <c r="GB10">
        <v>0</v>
      </c>
      <c r="GD10">
        <v>20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128.633457249</v>
      </c>
      <c r="GK10">
        <v>128.62289855099999</v>
      </c>
      <c r="GL10">
        <v>128.66276150600001</v>
      </c>
      <c r="GM10">
        <v>128.62751879699999</v>
      </c>
      <c r="GN10">
        <v>0</v>
      </c>
      <c r="GO10">
        <v>0</v>
      </c>
      <c r="GP10">
        <v>128.4</v>
      </c>
      <c r="GQ10">
        <v>128.5</v>
      </c>
      <c r="GR10">
        <v>0</v>
      </c>
      <c r="GS10">
        <v>0</v>
      </c>
    </row>
    <row r="11" spans="1:201" x14ac:dyDescent="0.3">
      <c r="A11" s="2">
        <v>46051</v>
      </c>
      <c r="C11">
        <v>105.17</v>
      </c>
      <c r="D11">
        <v>105.19</v>
      </c>
      <c r="E11">
        <v>105.01</v>
      </c>
      <c r="F11">
        <v>216169</v>
      </c>
      <c r="G11">
        <v>3.22</v>
      </c>
      <c r="H11">
        <v>105.05</v>
      </c>
      <c r="I11">
        <v>0.18</v>
      </c>
      <c r="J11">
        <v>105.09</v>
      </c>
      <c r="K11">
        <v>0.73</v>
      </c>
      <c r="L11">
        <v>105.18600000000001</v>
      </c>
      <c r="M11">
        <v>-0.21099999999999999</v>
      </c>
      <c r="N11">
        <v>-7.1999999999999995E-2</v>
      </c>
      <c r="O11">
        <v>105.19199999999999</v>
      </c>
      <c r="P11">
        <v>-0.13600000000000001</v>
      </c>
      <c r="Q11">
        <v>0.13900000000000001</v>
      </c>
      <c r="R11">
        <v>3.1739999999999999</v>
      </c>
      <c r="S11">
        <v>2.7831000000000001</v>
      </c>
      <c r="T11">
        <v>105.261</v>
      </c>
      <c r="U11">
        <v>3.1480000000000001</v>
      </c>
      <c r="V11">
        <v>605038</v>
      </c>
      <c r="W11">
        <v>-14882</v>
      </c>
      <c r="X11">
        <v>117805</v>
      </c>
      <c r="Y11">
        <v>98364</v>
      </c>
      <c r="Z11">
        <v>6799</v>
      </c>
      <c r="AA11">
        <v>3043</v>
      </c>
      <c r="AB11">
        <v>11122</v>
      </c>
      <c r="AC11">
        <v>322</v>
      </c>
      <c r="AD11">
        <v>281</v>
      </c>
      <c r="AE11">
        <v>27029</v>
      </c>
      <c r="AF11">
        <v>-27357</v>
      </c>
      <c r="AG11">
        <v>11511</v>
      </c>
      <c r="AH11">
        <v>557</v>
      </c>
      <c r="AJ11">
        <v>14415</v>
      </c>
      <c r="AK11">
        <v>-79</v>
      </c>
      <c r="AL11">
        <v>160</v>
      </c>
      <c r="AM11">
        <v>465</v>
      </c>
      <c r="AN11">
        <v>105.07883400199999</v>
      </c>
      <c r="AO11">
        <v>105.081679966</v>
      </c>
      <c r="AP11">
        <v>105.083069862</v>
      </c>
      <c r="AQ11">
        <v>105.079738453</v>
      </c>
      <c r="AR11">
        <v>105.083083485</v>
      </c>
      <c r="AS11">
        <v>105.078376007</v>
      </c>
      <c r="AT11">
        <v>105.066088394</v>
      </c>
      <c r="AU11">
        <v>105.077352835</v>
      </c>
      <c r="AV11">
        <v>105.085186167</v>
      </c>
      <c r="AW11">
        <v>105.082391882</v>
      </c>
      <c r="AX11">
        <v>105.0825</v>
      </c>
      <c r="AY11">
        <v>105.072816901</v>
      </c>
      <c r="AZ11">
        <v>107.23</v>
      </c>
      <c r="BA11">
        <v>107.32</v>
      </c>
      <c r="BB11">
        <v>107.32</v>
      </c>
      <c r="BC11">
        <v>107.23</v>
      </c>
      <c r="BD11">
        <v>15</v>
      </c>
      <c r="BE11">
        <v>3.415</v>
      </c>
      <c r="BF11">
        <v>107.23</v>
      </c>
      <c r="BG11">
        <v>0.09</v>
      </c>
      <c r="BH11">
        <v>107.28</v>
      </c>
      <c r="BI11">
        <v>0.71</v>
      </c>
      <c r="BJ11">
        <v>107.23399999999999</v>
      </c>
      <c r="BK11">
        <v>-0.127</v>
      </c>
      <c r="BL11">
        <v>-0.11899999999999999</v>
      </c>
      <c r="BM11">
        <v>107.238</v>
      </c>
      <c r="BN11">
        <v>-4.0000000000000001E-3</v>
      </c>
      <c r="BO11">
        <v>8.0000000000000002E-3</v>
      </c>
      <c r="BP11">
        <v>3.4140000000000001</v>
      </c>
      <c r="BQ11">
        <v>4.431</v>
      </c>
      <c r="BR11">
        <v>107.357</v>
      </c>
      <c r="BS11">
        <v>3.3879999999999999</v>
      </c>
      <c r="BT11">
        <v>15</v>
      </c>
      <c r="BU11">
        <v>-10</v>
      </c>
      <c r="BV11">
        <v>0</v>
      </c>
      <c r="BW11">
        <v>15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107.29</v>
      </c>
      <c r="CO11">
        <v>107.29</v>
      </c>
      <c r="CP11">
        <v>107.29</v>
      </c>
      <c r="CQ11">
        <v>107.29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111.35</v>
      </c>
      <c r="CY11">
        <v>111.64</v>
      </c>
      <c r="CZ11">
        <v>111.75</v>
      </c>
      <c r="DA11">
        <v>111.1</v>
      </c>
      <c r="DB11">
        <v>91455</v>
      </c>
      <c r="DC11">
        <v>3.6360000000000001</v>
      </c>
      <c r="DD11">
        <v>111.35</v>
      </c>
      <c r="DE11">
        <v>0.65</v>
      </c>
      <c r="DF11">
        <v>111.39</v>
      </c>
      <c r="DG11">
        <v>2.14</v>
      </c>
      <c r="DH11">
        <v>111.44799999999999</v>
      </c>
      <c r="DI11">
        <v>-0.24</v>
      </c>
      <c r="DJ11">
        <v>-0.14199999999999999</v>
      </c>
      <c r="DK11">
        <v>111.43899999999999</v>
      </c>
      <c r="DL11">
        <v>-9.8000000000000004E-2</v>
      </c>
      <c r="DM11">
        <v>9.8000000000000004E-2</v>
      </c>
      <c r="DN11">
        <v>3.625</v>
      </c>
      <c r="DO11">
        <v>7.9686000000000003</v>
      </c>
      <c r="DP11">
        <v>111.59</v>
      </c>
      <c r="DQ11">
        <v>3.609</v>
      </c>
      <c r="DR11">
        <v>283026</v>
      </c>
      <c r="DS11">
        <v>2543</v>
      </c>
      <c r="DT11">
        <v>49652</v>
      </c>
      <c r="DU11">
        <v>41803</v>
      </c>
      <c r="DV11">
        <v>17927</v>
      </c>
      <c r="DW11">
        <v>191</v>
      </c>
      <c r="DX11">
        <v>603</v>
      </c>
      <c r="DY11">
        <v>664</v>
      </c>
      <c r="DZ11">
        <v>286</v>
      </c>
      <c r="EA11">
        <v>-5112</v>
      </c>
      <c r="EB11">
        <v>5113</v>
      </c>
      <c r="EC11">
        <v>-4602</v>
      </c>
      <c r="ED11">
        <v>-487</v>
      </c>
      <c r="EF11">
        <v>136</v>
      </c>
      <c r="EG11">
        <v>-349</v>
      </c>
      <c r="EH11">
        <v>-60</v>
      </c>
      <c r="EI11">
        <v>250</v>
      </c>
      <c r="EJ11">
        <v>111.378435627</v>
      </c>
      <c r="EK11">
        <v>111.38870623</v>
      </c>
      <c r="EL11">
        <v>111.38165129399999</v>
      </c>
      <c r="EM11">
        <v>111.36649875099999</v>
      </c>
      <c r="EN11">
        <v>111.381912407</v>
      </c>
      <c r="EO11">
        <v>111.364327651</v>
      </c>
      <c r="EP11">
        <v>111.36670993200001</v>
      </c>
      <c r="EQ11">
        <v>111.38332005300001</v>
      </c>
      <c r="ER11">
        <v>111.380943548</v>
      </c>
      <c r="ES11">
        <v>111.375563847</v>
      </c>
      <c r="ET11">
        <v>111.391446208</v>
      </c>
      <c r="EU11">
        <v>111.360262009</v>
      </c>
      <c r="EV11">
        <v>127.5</v>
      </c>
      <c r="EW11">
        <v>128.02000000000001</v>
      </c>
      <c r="EX11">
        <v>128.02000000000001</v>
      </c>
      <c r="EY11">
        <v>127.06</v>
      </c>
      <c r="EZ11">
        <v>497</v>
      </c>
      <c r="FA11">
        <v>3.51</v>
      </c>
      <c r="FB11">
        <v>127.5</v>
      </c>
      <c r="FC11">
        <v>0.96</v>
      </c>
      <c r="FD11">
        <v>127.56</v>
      </c>
      <c r="FE11">
        <v>4.47</v>
      </c>
      <c r="FF11">
        <v>127.745</v>
      </c>
      <c r="FG11">
        <v>-0.36599999999999999</v>
      </c>
      <c r="FH11">
        <v>-0.121</v>
      </c>
      <c r="FI11">
        <v>127.745</v>
      </c>
      <c r="FJ11">
        <v>-0.245</v>
      </c>
      <c r="FK11">
        <v>0.245</v>
      </c>
      <c r="FL11">
        <v>3.4990000000000001</v>
      </c>
      <c r="FM11">
        <v>17.166499999999999</v>
      </c>
      <c r="FN11">
        <v>127.866</v>
      </c>
      <c r="FO11">
        <v>3.4940000000000002</v>
      </c>
      <c r="FP11">
        <v>1805</v>
      </c>
      <c r="FQ11">
        <v>-94</v>
      </c>
      <c r="FR11">
        <v>363</v>
      </c>
      <c r="FS11">
        <v>134</v>
      </c>
      <c r="FT11">
        <v>99</v>
      </c>
      <c r="FU11">
        <v>7</v>
      </c>
      <c r="FV11">
        <v>15</v>
      </c>
      <c r="FW11">
        <v>11</v>
      </c>
      <c r="FX11">
        <v>8</v>
      </c>
      <c r="FY11">
        <v>-5</v>
      </c>
      <c r="FZ11">
        <v>0</v>
      </c>
      <c r="GA11">
        <v>-37</v>
      </c>
      <c r="GB11">
        <v>0</v>
      </c>
      <c r="GD11">
        <v>30</v>
      </c>
      <c r="GE11">
        <v>2</v>
      </c>
      <c r="GF11">
        <v>0</v>
      </c>
      <c r="GG11">
        <v>0</v>
      </c>
      <c r="GH11">
        <v>0</v>
      </c>
      <c r="GI11">
        <v>0</v>
      </c>
      <c r="GJ11">
        <v>127.521506276</v>
      </c>
      <c r="GK11">
        <v>127.527536232</v>
      </c>
      <c r="GL11">
        <v>127.508026906</v>
      </c>
      <c r="GM11">
        <v>127.527536232</v>
      </c>
      <c r="GN11">
        <v>0</v>
      </c>
      <c r="GO11">
        <v>0</v>
      </c>
      <c r="GP11">
        <v>127.693333333</v>
      </c>
      <c r="GQ11">
        <v>0</v>
      </c>
      <c r="GR11">
        <v>127.95</v>
      </c>
      <c r="GS11">
        <v>0</v>
      </c>
    </row>
    <row r="12" spans="1:201" x14ac:dyDescent="0.3">
      <c r="A12" s="2">
        <v>46052</v>
      </c>
      <c r="C12">
        <v>105.05</v>
      </c>
      <c r="D12">
        <v>105.08</v>
      </c>
      <c r="E12">
        <v>104.93</v>
      </c>
      <c r="F12">
        <v>184835</v>
      </c>
      <c r="G12">
        <v>3.258</v>
      </c>
      <c r="H12">
        <v>104.94</v>
      </c>
      <c r="I12">
        <v>0.15</v>
      </c>
      <c r="J12">
        <v>104.97</v>
      </c>
      <c r="K12">
        <v>0.46</v>
      </c>
      <c r="L12">
        <v>105.084</v>
      </c>
      <c r="M12">
        <v>-0.219</v>
      </c>
      <c r="N12">
        <v>-7.1999999999999995E-2</v>
      </c>
      <c r="O12">
        <v>105.084</v>
      </c>
      <c r="P12">
        <v>-0.14399999999999999</v>
      </c>
      <c r="Q12">
        <v>0.14699999999999999</v>
      </c>
      <c r="R12">
        <v>3.2090000000000001</v>
      </c>
      <c r="S12">
        <v>2.7825000000000002</v>
      </c>
      <c r="T12">
        <v>105.15900000000001</v>
      </c>
      <c r="U12">
        <v>3.1829999999999998</v>
      </c>
      <c r="V12">
        <v>609511</v>
      </c>
      <c r="W12">
        <v>4473</v>
      </c>
      <c r="X12">
        <v>103049</v>
      </c>
      <c r="Y12">
        <v>81286</v>
      </c>
      <c r="Z12">
        <v>6984</v>
      </c>
      <c r="AA12">
        <v>2877</v>
      </c>
      <c r="AB12">
        <v>5155</v>
      </c>
      <c r="AC12">
        <v>403</v>
      </c>
      <c r="AD12">
        <v>226</v>
      </c>
      <c r="AE12">
        <v>-6373</v>
      </c>
      <c r="AF12">
        <v>6234</v>
      </c>
      <c r="AG12">
        <v>-3343</v>
      </c>
      <c r="AH12">
        <v>-2320</v>
      </c>
      <c r="AJ12">
        <v>-1918</v>
      </c>
      <c r="AK12">
        <v>-77</v>
      </c>
      <c r="AL12">
        <v>0</v>
      </c>
      <c r="AM12">
        <v>1285</v>
      </c>
      <c r="AN12">
        <v>104.973684834</v>
      </c>
      <c r="AO12">
        <v>104.972209367</v>
      </c>
      <c r="AP12">
        <v>104.973346045</v>
      </c>
      <c r="AQ12">
        <v>104.974746881</v>
      </c>
      <c r="AR12">
        <v>104.970691245</v>
      </c>
      <c r="AS12">
        <v>104.97636321</v>
      </c>
      <c r="AT12">
        <v>104.954679961</v>
      </c>
      <c r="AU12">
        <v>104.963525469</v>
      </c>
      <c r="AV12">
        <v>104.99169479699999</v>
      </c>
      <c r="AW12">
        <v>104.977615742</v>
      </c>
      <c r="AX12">
        <v>104.961313131</v>
      </c>
      <c r="AY12">
        <v>104.959854545</v>
      </c>
      <c r="AZ12">
        <v>107.06</v>
      </c>
      <c r="BA12">
        <v>107.08</v>
      </c>
      <c r="BB12">
        <v>107.08</v>
      </c>
      <c r="BC12">
        <v>107.04</v>
      </c>
      <c r="BD12">
        <v>40</v>
      </c>
      <c r="BE12">
        <v>3.4510000000000001</v>
      </c>
      <c r="BF12">
        <v>107.06</v>
      </c>
      <c r="BG12">
        <v>0.04</v>
      </c>
      <c r="BH12">
        <v>107.06</v>
      </c>
      <c r="BI12">
        <v>0.26</v>
      </c>
      <c r="BJ12">
        <v>107.039</v>
      </c>
      <c r="BK12">
        <v>-0.1</v>
      </c>
      <c r="BL12">
        <v>-0.121</v>
      </c>
      <c r="BM12">
        <v>107.03</v>
      </c>
      <c r="BN12">
        <v>2.1000000000000001E-2</v>
      </c>
      <c r="BO12">
        <v>-2.1000000000000001E-2</v>
      </c>
      <c r="BP12">
        <v>3.4550000000000001</v>
      </c>
      <c r="BQ12">
        <v>4.4297000000000004</v>
      </c>
      <c r="BR12">
        <v>107.16</v>
      </c>
      <c r="BS12">
        <v>3.4289999999999998</v>
      </c>
      <c r="BT12">
        <v>15</v>
      </c>
      <c r="BU12">
        <v>0</v>
      </c>
      <c r="BV12">
        <v>20</v>
      </c>
      <c r="BW12">
        <v>20</v>
      </c>
      <c r="BX12">
        <v>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107.05500000000001</v>
      </c>
      <c r="CO12">
        <v>107.05500000000001</v>
      </c>
      <c r="CP12">
        <v>107.05500000000001</v>
      </c>
      <c r="CQ12">
        <v>107.05500000000001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110.95</v>
      </c>
      <c r="CY12">
        <v>111.37</v>
      </c>
      <c r="CZ12">
        <v>111.49</v>
      </c>
      <c r="DA12">
        <v>110.9</v>
      </c>
      <c r="DB12">
        <v>82177</v>
      </c>
      <c r="DC12">
        <v>3.681</v>
      </c>
      <c r="DD12">
        <v>110.95</v>
      </c>
      <c r="DE12">
        <v>0.59</v>
      </c>
      <c r="DF12">
        <v>111.16</v>
      </c>
      <c r="DG12">
        <v>2</v>
      </c>
      <c r="DH12">
        <v>111.06699999999999</v>
      </c>
      <c r="DI12">
        <v>-0.26300000000000001</v>
      </c>
      <c r="DJ12">
        <v>-0.13800000000000001</v>
      </c>
      <c r="DK12">
        <v>111.04</v>
      </c>
      <c r="DL12">
        <v>-0.11700000000000001</v>
      </c>
      <c r="DM12">
        <v>0.125</v>
      </c>
      <c r="DN12">
        <v>3.6680000000000001</v>
      </c>
      <c r="DO12">
        <v>7.9629000000000003</v>
      </c>
      <c r="DP12">
        <v>111.21299999999999</v>
      </c>
      <c r="DQ12">
        <v>3.6509999999999998</v>
      </c>
      <c r="DR12">
        <v>283462</v>
      </c>
      <c r="DS12">
        <v>436</v>
      </c>
      <c r="DT12">
        <v>44174</v>
      </c>
      <c r="DU12">
        <v>37839</v>
      </c>
      <c r="DV12">
        <v>15886</v>
      </c>
      <c r="DW12">
        <v>148</v>
      </c>
      <c r="DX12">
        <v>1054</v>
      </c>
      <c r="DY12">
        <v>701</v>
      </c>
      <c r="DZ12">
        <v>246</v>
      </c>
      <c r="EA12">
        <v>-3934</v>
      </c>
      <c r="EB12">
        <v>3759</v>
      </c>
      <c r="EC12">
        <v>-2523</v>
      </c>
      <c r="ED12">
        <v>-378</v>
      </c>
      <c r="EF12">
        <v>-1774</v>
      </c>
      <c r="EG12">
        <v>840</v>
      </c>
      <c r="EH12">
        <v>0</v>
      </c>
      <c r="EI12">
        <v>-99</v>
      </c>
      <c r="EJ12">
        <v>111.154832203</v>
      </c>
      <c r="EK12">
        <v>111.15491533700001</v>
      </c>
      <c r="EL12">
        <v>111.134144835</v>
      </c>
      <c r="EM12">
        <v>111.134951309</v>
      </c>
      <c r="EN12">
        <v>111.134985818</v>
      </c>
      <c r="EO12">
        <v>111.151756792</v>
      </c>
      <c r="EP12">
        <v>111.056786348</v>
      </c>
      <c r="EQ12">
        <v>111.053618071</v>
      </c>
      <c r="ER12">
        <v>111.147150528</v>
      </c>
      <c r="ES12">
        <v>111.105834805</v>
      </c>
      <c r="ET12">
        <v>111.205709195</v>
      </c>
      <c r="EU12">
        <v>111.10822380099999</v>
      </c>
      <c r="EV12">
        <v>126.64</v>
      </c>
      <c r="EW12">
        <v>127.04</v>
      </c>
      <c r="EX12">
        <v>127.18</v>
      </c>
      <c r="EY12">
        <v>126.64</v>
      </c>
      <c r="EZ12">
        <v>182</v>
      </c>
      <c r="FA12">
        <v>3.55</v>
      </c>
      <c r="FB12">
        <v>126.64</v>
      </c>
      <c r="FC12">
        <v>0.54</v>
      </c>
      <c r="FD12">
        <v>127.02</v>
      </c>
      <c r="FE12">
        <v>1.67</v>
      </c>
      <c r="FF12">
        <v>126.98</v>
      </c>
      <c r="FG12">
        <v>-0.46</v>
      </c>
      <c r="FH12">
        <v>-0.12</v>
      </c>
      <c r="FI12">
        <v>126.91500000000001</v>
      </c>
      <c r="FJ12">
        <v>-0.34</v>
      </c>
      <c r="FK12">
        <v>0.34</v>
      </c>
      <c r="FL12">
        <v>3.5339999999999998</v>
      </c>
      <c r="FM12">
        <v>17.120699999999999</v>
      </c>
      <c r="FN12">
        <v>127.1</v>
      </c>
      <c r="FO12">
        <v>3.5289999999999999</v>
      </c>
      <c r="FP12">
        <v>1822</v>
      </c>
      <c r="FQ12">
        <v>17</v>
      </c>
      <c r="FR12">
        <v>125</v>
      </c>
      <c r="FS12">
        <v>57</v>
      </c>
      <c r="FT12">
        <v>43</v>
      </c>
      <c r="FU12">
        <v>43</v>
      </c>
      <c r="FV12">
        <v>14</v>
      </c>
      <c r="FW12">
        <v>6</v>
      </c>
      <c r="FX12">
        <v>7</v>
      </c>
      <c r="FY12">
        <v>-24</v>
      </c>
      <c r="FZ12">
        <v>32</v>
      </c>
      <c r="GA12">
        <v>6</v>
      </c>
      <c r="GB12">
        <v>0</v>
      </c>
      <c r="GD12">
        <v>-30</v>
      </c>
      <c r="GE12">
        <v>0</v>
      </c>
      <c r="GF12">
        <v>0</v>
      </c>
      <c r="GG12">
        <v>0</v>
      </c>
      <c r="GH12">
        <v>127.0175</v>
      </c>
      <c r="GI12">
        <v>0</v>
      </c>
      <c r="GJ12">
        <v>127.032285714</v>
      </c>
      <c r="GK12">
        <v>127.030243902</v>
      </c>
      <c r="GL12">
        <v>127.032285714</v>
      </c>
      <c r="GM12">
        <v>127.026567164</v>
      </c>
      <c r="GN12">
        <v>0</v>
      </c>
      <c r="GO12">
        <v>0</v>
      </c>
      <c r="GP12">
        <v>0</v>
      </c>
      <c r="GQ12">
        <v>127.046666667</v>
      </c>
      <c r="GR12">
        <v>0</v>
      </c>
      <c r="GS12">
        <v>0</v>
      </c>
    </row>
    <row r="13" spans="1:201" x14ac:dyDescent="0.3">
      <c r="A13" s="2">
        <v>46053</v>
      </c>
      <c r="C13">
        <v>105.05</v>
      </c>
      <c r="D13">
        <v>105.08</v>
      </c>
      <c r="E13">
        <v>104.93</v>
      </c>
      <c r="F13">
        <v>184835</v>
      </c>
      <c r="G13">
        <v>3.258</v>
      </c>
      <c r="H13">
        <v>104.94</v>
      </c>
      <c r="I13">
        <v>0.15</v>
      </c>
      <c r="J13">
        <v>104.97</v>
      </c>
      <c r="K13">
        <v>0.46</v>
      </c>
      <c r="L13">
        <v>105.084</v>
      </c>
      <c r="M13">
        <v>-0.219</v>
      </c>
      <c r="N13">
        <v>-7.1999999999999995E-2</v>
      </c>
      <c r="O13">
        <v>105.084</v>
      </c>
      <c r="P13">
        <v>-0.14399999999999999</v>
      </c>
      <c r="Q13">
        <v>0.14699999999999999</v>
      </c>
      <c r="R13">
        <v>3.2090000000000001</v>
      </c>
      <c r="S13">
        <v>2.7825000000000002</v>
      </c>
      <c r="T13">
        <v>105.15900000000001</v>
      </c>
      <c r="U13">
        <v>3.1829999999999998</v>
      </c>
      <c r="V13">
        <v>609511</v>
      </c>
      <c r="W13">
        <v>4473</v>
      </c>
      <c r="X13">
        <v>103049</v>
      </c>
      <c r="Y13">
        <v>81286</v>
      </c>
      <c r="Z13">
        <v>6984</v>
      </c>
      <c r="AA13">
        <v>2877</v>
      </c>
      <c r="AB13">
        <v>5155</v>
      </c>
      <c r="AC13">
        <v>403</v>
      </c>
      <c r="AD13">
        <v>226</v>
      </c>
      <c r="AE13">
        <v>-6373</v>
      </c>
      <c r="AF13">
        <v>6234</v>
      </c>
      <c r="AG13">
        <v>-3343</v>
      </c>
      <c r="AH13">
        <v>-2320</v>
      </c>
      <c r="AJ13">
        <v>-1918</v>
      </c>
      <c r="AK13">
        <v>-77</v>
      </c>
      <c r="AL13">
        <v>0</v>
      </c>
      <c r="AM13">
        <v>1285</v>
      </c>
      <c r="AN13">
        <v>104.973684834</v>
      </c>
      <c r="AO13">
        <v>104.972209367</v>
      </c>
      <c r="AP13">
        <v>104.973346045</v>
      </c>
      <c r="AQ13">
        <v>104.974746881</v>
      </c>
      <c r="AR13">
        <v>104.970691245</v>
      </c>
      <c r="AS13">
        <v>104.97636321</v>
      </c>
      <c r="AT13">
        <v>104.954679961</v>
      </c>
      <c r="AU13">
        <v>104.963525469</v>
      </c>
      <c r="AV13">
        <v>104.99169479699999</v>
      </c>
      <c r="AW13">
        <v>104.977615742</v>
      </c>
      <c r="AX13">
        <v>104.961313131</v>
      </c>
      <c r="AY13">
        <v>104.959854545</v>
      </c>
      <c r="AZ13">
        <v>107.06</v>
      </c>
      <c r="BA13">
        <v>107.08</v>
      </c>
      <c r="BB13">
        <v>107.08</v>
      </c>
      <c r="BC13">
        <v>107.04</v>
      </c>
      <c r="BD13">
        <v>40</v>
      </c>
      <c r="BE13">
        <v>3.4510000000000001</v>
      </c>
      <c r="BF13">
        <v>107.06</v>
      </c>
      <c r="BG13">
        <v>0.04</v>
      </c>
      <c r="BH13">
        <v>107.06</v>
      </c>
      <c r="BI13">
        <v>0.26</v>
      </c>
      <c r="BJ13">
        <v>107.039</v>
      </c>
      <c r="BK13">
        <v>-0.1</v>
      </c>
      <c r="BL13">
        <v>-0.121</v>
      </c>
      <c r="BM13">
        <v>107.03</v>
      </c>
      <c r="BN13">
        <v>2.1000000000000001E-2</v>
      </c>
      <c r="BO13">
        <v>-2.1000000000000001E-2</v>
      </c>
      <c r="BP13">
        <v>3.4550000000000001</v>
      </c>
      <c r="BQ13">
        <v>4.4297000000000004</v>
      </c>
      <c r="BR13">
        <v>107.16</v>
      </c>
      <c r="BS13">
        <v>3.4289999999999998</v>
      </c>
      <c r="BT13">
        <v>15</v>
      </c>
      <c r="BU13">
        <v>0</v>
      </c>
      <c r="BV13">
        <v>20</v>
      </c>
      <c r="BW13">
        <v>20</v>
      </c>
      <c r="BX13">
        <v>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107.05500000000001</v>
      </c>
      <c r="CO13">
        <v>107.05500000000001</v>
      </c>
      <c r="CP13">
        <v>107.05500000000001</v>
      </c>
      <c r="CQ13">
        <v>107.05500000000001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110.95</v>
      </c>
      <c r="CY13">
        <v>111.37</v>
      </c>
      <c r="CZ13">
        <v>111.49</v>
      </c>
      <c r="DA13">
        <v>110.9</v>
      </c>
      <c r="DB13">
        <v>82177</v>
      </c>
      <c r="DC13">
        <v>3.681</v>
      </c>
      <c r="DD13">
        <v>110.95</v>
      </c>
      <c r="DE13">
        <v>0.59</v>
      </c>
      <c r="DF13">
        <v>111.16</v>
      </c>
      <c r="DG13">
        <v>2</v>
      </c>
      <c r="DH13">
        <v>111.06699999999999</v>
      </c>
      <c r="DI13">
        <v>-0.26300000000000001</v>
      </c>
      <c r="DJ13">
        <v>-0.13800000000000001</v>
      </c>
      <c r="DK13">
        <v>111.04</v>
      </c>
      <c r="DL13">
        <v>-0.11700000000000001</v>
      </c>
      <c r="DM13">
        <v>0.125</v>
      </c>
      <c r="DN13">
        <v>3.6680000000000001</v>
      </c>
      <c r="DO13">
        <v>7.9629000000000003</v>
      </c>
      <c r="DP13">
        <v>111.21299999999999</v>
      </c>
      <c r="DQ13">
        <v>3.6509999999999998</v>
      </c>
      <c r="DR13">
        <v>283462</v>
      </c>
      <c r="DS13">
        <v>436</v>
      </c>
      <c r="DT13">
        <v>44174</v>
      </c>
      <c r="DU13">
        <v>37839</v>
      </c>
      <c r="DV13">
        <v>15886</v>
      </c>
      <c r="DW13">
        <v>148</v>
      </c>
      <c r="DX13">
        <v>1054</v>
      </c>
      <c r="DY13">
        <v>701</v>
      </c>
      <c r="DZ13">
        <v>246</v>
      </c>
      <c r="EA13">
        <v>-3934</v>
      </c>
      <c r="EB13">
        <v>3759</v>
      </c>
      <c r="EC13">
        <v>-2523</v>
      </c>
      <c r="ED13">
        <v>-378</v>
      </c>
      <c r="EF13">
        <v>-1774</v>
      </c>
      <c r="EG13">
        <v>840</v>
      </c>
      <c r="EH13">
        <v>0</v>
      </c>
      <c r="EI13">
        <v>-99</v>
      </c>
      <c r="EJ13">
        <v>111.154832203</v>
      </c>
      <c r="EK13">
        <v>111.15491533700001</v>
      </c>
      <c r="EL13">
        <v>111.134144835</v>
      </c>
      <c r="EM13">
        <v>111.134951309</v>
      </c>
      <c r="EN13">
        <v>111.134985818</v>
      </c>
      <c r="EO13">
        <v>111.151756792</v>
      </c>
      <c r="EP13">
        <v>111.056786348</v>
      </c>
      <c r="EQ13">
        <v>111.053618071</v>
      </c>
      <c r="ER13">
        <v>111.147150528</v>
      </c>
      <c r="ES13">
        <v>111.105834805</v>
      </c>
      <c r="ET13">
        <v>111.205709195</v>
      </c>
      <c r="EU13">
        <v>111.10822380099999</v>
      </c>
      <c r="EV13">
        <v>126.64</v>
      </c>
      <c r="EW13">
        <v>127.04</v>
      </c>
      <c r="EX13">
        <v>127.18</v>
      </c>
      <c r="EY13">
        <v>126.64</v>
      </c>
      <c r="EZ13">
        <v>182</v>
      </c>
      <c r="FA13">
        <v>3.55</v>
      </c>
      <c r="FB13">
        <v>126.64</v>
      </c>
      <c r="FC13">
        <v>0.54</v>
      </c>
      <c r="FD13">
        <v>127.02</v>
      </c>
      <c r="FE13">
        <v>1.67</v>
      </c>
      <c r="FF13">
        <v>126.98</v>
      </c>
      <c r="FG13">
        <v>-0.46</v>
      </c>
      <c r="FH13">
        <v>-0.12</v>
      </c>
      <c r="FI13">
        <v>126.91500000000001</v>
      </c>
      <c r="FJ13">
        <v>-0.34</v>
      </c>
      <c r="FK13">
        <v>0.34</v>
      </c>
      <c r="FL13">
        <v>3.5339999999999998</v>
      </c>
      <c r="FM13">
        <v>17.120699999999999</v>
      </c>
      <c r="FN13">
        <v>127.1</v>
      </c>
      <c r="FO13">
        <v>3.5289999999999999</v>
      </c>
      <c r="FP13">
        <v>1822</v>
      </c>
      <c r="FQ13">
        <v>17</v>
      </c>
      <c r="FR13">
        <v>125</v>
      </c>
      <c r="FS13">
        <v>57</v>
      </c>
      <c r="FT13">
        <v>43</v>
      </c>
      <c r="FU13">
        <v>43</v>
      </c>
      <c r="FV13">
        <v>14</v>
      </c>
      <c r="FW13">
        <v>6</v>
      </c>
      <c r="FX13">
        <v>7</v>
      </c>
      <c r="FY13">
        <v>-24</v>
      </c>
      <c r="FZ13">
        <v>32</v>
      </c>
      <c r="GA13">
        <v>6</v>
      </c>
      <c r="GB13">
        <v>0</v>
      </c>
      <c r="GD13">
        <v>-30</v>
      </c>
      <c r="GE13">
        <v>0</v>
      </c>
      <c r="GF13">
        <v>0</v>
      </c>
      <c r="GG13">
        <v>0</v>
      </c>
      <c r="GH13">
        <v>127.0175</v>
      </c>
      <c r="GI13">
        <v>0</v>
      </c>
      <c r="GJ13">
        <v>127.032285714</v>
      </c>
      <c r="GK13">
        <v>127.030243902</v>
      </c>
      <c r="GL13">
        <v>127.032285714</v>
      </c>
      <c r="GM13">
        <v>127.026567164</v>
      </c>
      <c r="GN13">
        <v>0</v>
      </c>
      <c r="GO13">
        <v>0</v>
      </c>
      <c r="GP13">
        <v>0</v>
      </c>
      <c r="GQ13">
        <v>127.046666667</v>
      </c>
      <c r="GR13">
        <v>0</v>
      </c>
      <c r="GS13">
        <v>0</v>
      </c>
    </row>
    <row r="14" spans="1:201" x14ac:dyDescent="0.3">
      <c r="A14" s="2">
        <v>46054</v>
      </c>
      <c r="C14">
        <v>105.05</v>
      </c>
      <c r="D14">
        <v>105.08</v>
      </c>
      <c r="E14">
        <v>104.93</v>
      </c>
      <c r="F14">
        <v>184835</v>
      </c>
      <c r="G14">
        <v>3.258</v>
      </c>
      <c r="H14">
        <v>104.94</v>
      </c>
      <c r="I14">
        <v>0.15</v>
      </c>
      <c r="J14">
        <v>104.97</v>
      </c>
      <c r="K14">
        <v>0.46</v>
      </c>
      <c r="L14">
        <v>105.084</v>
      </c>
      <c r="M14">
        <v>-0.219</v>
      </c>
      <c r="N14">
        <v>-7.1999999999999995E-2</v>
      </c>
      <c r="O14">
        <v>105.084</v>
      </c>
      <c r="P14">
        <v>-0.14399999999999999</v>
      </c>
      <c r="Q14">
        <v>0.14699999999999999</v>
      </c>
      <c r="R14">
        <v>3.2090000000000001</v>
      </c>
      <c r="S14">
        <v>2.7825000000000002</v>
      </c>
      <c r="T14">
        <v>105.15900000000001</v>
      </c>
      <c r="U14">
        <v>3.1829999999999998</v>
      </c>
      <c r="V14">
        <v>609511</v>
      </c>
      <c r="W14">
        <v>4473</v>
      </c>
      <c r="X14">
        <v>103049</v>
      </c>
      <c r="Y14">
        <v>81286</v>
      </c>
      <c r="Z14">
        <v>6984</v>
      </c>
      <c r="AA14">
        <v>2877</v>
      </c>
      <c r="AB14">
        <v>5155</v>
      </c>
      <c r="AC14">
        <v>403</v>
      </c>
      <c r="AD14">
        <v>226</v>
      </c>
      <c r="AE14">
        <v>-6373</v>
      </c>
      <c r="AF14">
        <v>6234</v>
      </c>
      <c r="AG14">
        <v>-3343</v>
      </c>
      <c r="AH14">
        <v>-2320</v>
      </c>
      <c r="AJ14">
        <v>-1918</v>
      </c>
      <c r="AK14">
        <v>-77</v>
      </c>
      <c r="AL14">
        <v>0</v>
      </c>
      <c r="AM14">
        <v>1285</v>
      </c>
      <c r="AN14">
        <v>104.973684834</v>
      </c>
      <c r="AO14">
        <v>104.972209367</v>
      </c>
      <c r="AP14">
        <v>104.973346045</v>
      </c>
      <c r="AQ14">
        <v>104.974746881</v>
      </c>
      <c r="AR14">
        <v>104.970691245</v>
      </c>
      <c r="AS14">
        <v>104.97636321</v>
      </c>
      <c r="AT14">
        <v>104.954679961</v>
      </c>
      <c r="AU14">
        <v>104.963525469</v>
      </c>
      <c r="AV14">
        <v>104.99169479699999</v>
      </c>
      <c r="AW14">
        <v>104.977615742</v>
      </c>
      <c r="AX14">
        <v>104.961313131</v>
      </c>
      <c r="AY14">
        <v>104.959854545</v>
      </c>
      <c r="AZ14">
        <v>107.06</v>
      </c>
      <c r="BA14">
        <v>107.08</v>
      </c>
      <c r="BB14">
        <v>107.08</v>
      </c>
      <c r="BC14">
        <v>107.04</v>
      </c>
      <c r="BD14">
        <v>40</v>
      </c>
      <c r="BE14">
        <v>3.4510000000000001</v>
      </c>
      <c r="BF14">
        <v>107.06</v>
      </c>
      <c r="BG14">
        <v>0.04</v>
      </c>
      <c r="BH14">
        <v>107.06</v>
      </c>
      <c r="BI14">
        <v>0.26</v>
      </c>
      <c r="BJ14">
        <v>107.039</v>
      </c>
      <c r="BK14">
        <v>-0.1</v>
      </c>
      <c r="BL14">
        <v>-0.121</v>
      </c>
      <c r="BM14">
        <v>107.03</v>
      </c>
      <c r="BN14">
        <v>2.1000000000000001E-2</v>
      </c>
      <c r="BO14">
        <v>-2.1000000000000001E-2</v>
      </c>
      <c r="BP14">
        <v>3.4550000000000001</v>
      </c>
      <c r="BQ14">
        <v>4.4297000000000004</v>
      </c>
      <c r="BR14">
        <v>107.16</v>
      </c>
      <c r="BS14">
        <v>3.4289999999999998</v>
      </c>
      <c r="BT14">
        <v>15</v>
      </c>
      <c r="BU14">
        <v>0</v>
      </c>
      <c r="BV14">
        <v>20</v>
      </c>
      <c r="BW14">
        <v>20</v>
      </c>
      <c r="BX14">
        <v>4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107.05500000000001</v>
      </c>
      <c r="CO14">
        <v>107.05500000000001</v>
      </c>
      <c r="CP14">
        <v>107.05500000000001</v>
      </c>
      <c r="CQ14">
        <v>107.05500000000001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110.95</v>
      </c>
      <c r="CY14">
        <v>111.37</v>
      </c>
      <c r="CZ14">
        <v>111.49</v>
      </c>
      <c r="DA14">
        <v>110.9</v>
      </c>
      <c r="DB14">
        <v>82177</v>
      </c>
      <c r="DC14">
        <v>3.681</v>
      </c>
      <c r="DD14">
        <v>110.95</v>
      </c>
      <c r="DE14">
        <v>0.59</v>
      </c>
      <c r="DF14">
        <v>111.16</v>
      </c>
      <c r="DG14">
        <v>2</v>
      </c>
      <c r="DH14">
        <v>111.06699999999999</v>
      </c>
      <c r="DI14">
        <v>-0.26300000000000001</v>
      </c>
      <c r="DJ14">
        <v>-0.13800000000000001</v>
      </c>
      <c r="DK14">
        <v>111.04</v>
      </c>
      <c r="DL14">
        <v>-0.11700000000000001</v>
      </c>
      <c r="DM14">
        <v>0.125</v>
      </c>
      <c r="DN14">
        <v>3.6680000000000001</v>
      </c>
      <c r="DO14">
        <v>7.9629000000000003</v>
      </c>
      <c r="DP14">
        <v>111.21299999999999</v>
      </c>
      <c r="DQ14">
        <v>3.6509999999999998</v>
      </c>
      <c r="DR14">
        <v>283462</v>
      </c>
      <c r="DS14">
        <v>436</v>
      </c>
      <c r="DT14">
        <v>44174</v>
      </c>
      <c r="DU14">
        <v>37839</v>
      </c>
      <c r="DV14">
        <v>15886</v>
      </c>
      <c r="DW14">
        <v>148</v>
      </c>
      <c r="DX14">
        <v>1054</v>
      </c>
      <c r="DY14">
        <v>701</v>
      </c>
      <c r="DZ14">
        <v>246</v>
      </c>
      <c r="EA14">
        <v>-3934</v>
      </c>
      <c r="EB14">
        <v>3759</v>
      </c>
      <c r="EC14">
        <v>-2523</v>
      </c>
      <c r="ED14">
        <v>-378</v>
      </c>
      <c r="EF14">
        <v>-1774</v>
      </c>
      <c r="EG14">
        <v>840</v>
      </c>
      <c r="EH14">
        <v>0</v>
      </c>
      <c r="EI14">
        <v>-99</v>
      </c>
      <c r="EJ14">
        <v>111.154832203</v>
      </c>
      <c r="EK14">
        <v>111.15491533700001</v>
      </c>
      <c r="EL14">
        <v>111.134144835</v>
      </c>
      <c r="EM14">
        <v>111.134951309</v>
      </c>
      <c r="EN14">
        <v>111.134985818</v>
      </c>
      <c r="EO14">
        <v>111.151756792</v>
      </c>
      <c r="EP14">
        <v>111.056786348</v>
      </c>
      <c r="EQ14">
        <v>111.053618071</v>
      </c>
      <c r="ER14">
        <v>111.147150528</v>
      </c>
      <c r="ES14">
        <v>111.105834805</v>
      </c>
      <c r="ET14">
        <v>111.205709195</v>
      </c>
      <c r="EU14">
        <v>111.10822380099999</v>
      </c>
      <c r="EV14">
        <v>126.64</v>
      </c>
      <c r="EW14">
        <v>127.04</v>
      </c>
      <c r="EX14">
        <v>127.18</v>
      </c>
      <c r="EY14">
        <v>126.64</v>
      </c>
      <c r="EZ14">
        <v>182</v>
      </c>
      <c r="FA14">
        <v>3.55</v>
      </c>
      <c r="FB14">
        <v>126.64</v>
      </c>
      <c r="FC14">
        <v>0.54</v>
      </c>
      <c r="FD14">
        <v>127.02</v>
      </c>
      <c r="FE14">
        <v>1.67</v>
      </c>
      <c r="FF14">
        <v>126.98</v>
      </c>
      <c r="FG14">
        <v>-0.46</v>
      </c>
      <c r="FH14">
        <v>-0.12</v>
      </c>
      <c r="FI14">
        <v>126.91500000000001</v>
      </c>
      <c r="FJ14">
        <v>-0.34</v>
      </c>
      <c r="FK14">
        <v>0.34</v>
      </c>
      <c r="FL14">
        <v>3.5339999999999998</v>
      </c>
      <c r="FM14">
        <v>17.120699999999999</v>
      </c>
      <c r="FN14">
        <v>127.1</v>
      </c>
      <c r="FO14">
        <v>3.5289999999999999</v>
      </c>
      <c r="FP14">
        <v>1822</v>
      </c>
      <c r="FQ14">
        <v>17</v>
      </c>
      <c r="FR14">
        <v>125</v>
      </c>
      <c r="FS14">
        <v>57</v>
      </c>
      <c r="FT14">
        <v>43</v>
      </c>
      <c r="FU14">
        <v>43</v>
      </c>
      <c r="FV14">
        <v>14</v>
      </c>
      <c r="FW14">
        <v>6</v>
      </c>
      <c r="FX14">
        <v>7</v>
      </c>
      <c r="FY14">
        <v>-24</v>
      </c>
      <c r="FZ14">
        <v>32</v>
      </c>
      <c r="GA14">
        <v>6</v>
      </c>
      <c r="GB14">
        <v>0</v>
      </c>
      <c r="GD14">
        <v>-30</v>
      </c>
      <c r="GE14">
        <v>0</v>
      </c>
      <c r="GF14">
        <v>0</v>
      </c>
      <c r="GG14">
        <v>0</v>
      </c>
      <c r="GH14">
        <v>127.0175</v>
      </c>
      <c r="GI14">
        <v>0</v>
      </c>
      <c r="GJ14">
        <v>127.032285714</v>
      </c>
      <c r="GK14">
        <v>127.030243902</v>
      </c>
      <c r="GL14">
        <v>127.032285714</v>
      </c>
      <c r="GM14">
        <v>127.026567164</v>
      </c>
      <c r="GN14">
        <v>0</v>
      </c>
      <c r="GO14">
        <v>0</v>
      </c>
      <c r="GP14">
        <v>0</v>
      </c>
      <c r="GQ14">
        <v>127.046666667</v>
      </c>
      <c r="GR14">
        <v>0</v>
      </c>
      <c r="GS14">
        <v>0</v>
      </c>
    </row>
    <row r="15" spans="1:201" x14ac:dyDescent="0.3">
      <c r="A15" s="2">
        <v>46055</v>
      </c>
      <c r="C15">
        <v>104.94</v>
      </c>
      <c r="D15">
        <v>105.01</v>
      </c>
      <c r="E15">
        <v>104.8</v>
      </c>
      <c r="F15">
        <v>235826</v>
      </c>
      <c r="G15">
        <v>3.2650000000000001</v>
      </c>
      <c r="H15">
        <v>104.92</v>
      </c>
      <c r="I15">
        <v>0.21</v>
      </c>
      <c r="J15">
        <v>0</v>
      </c>
      <c r="K15">
        <v>0</v>
      </c>
      <c r="L15">
        <v>105.057</v>
      </c>
      <c r="M15">
        <v>-0.20899999999999999</v>
      </c>
      <c r="N15">
        <v>-6.9000000000000006E-2</v>
      </c>
      <c r="O15">
        <v>105.05200000000001</v>
      </c>
      <c r="P15">
        <v>-0.13700000000000001</v>
      </c>
      <c r="Q15">
        <v>0.14000000000000001</v>
      </c>
      <c r="R15">
        <v>3.218</v>
      </c>
      <c r="S15">
        <v>2.7824</v>
      </c>
      <c r="T15">
        <v>105.129</v>
      </c>
      <c r="U15">
        <v>3.194</v>
      </c>
      <c r="V15">
        <v>621077</v>
      </c>
      <c r="W15">
        <v>11566</v>
      </c>
      <c r="X15">
        <v>104318</v>
      </c>
      <c r="Y15">
        <v>131508</v>
      </c>
      <c r="Z15">
        <v>0</v>
      </c>
      <c r="AA15">
        <v>443</v>
      </c>
      <c r="AB15">
        <v>2792</v>
      </c>
      <c r="AC15">
        <v>277</v>
      </c>
      <c r="AD15">
        <v>279</v>
      </c>
      <c r="AE15">
        <v>-3513</v>
      </c>
      <c r="AF15">
        <v>3338</v>
      </c>
      <c r="AG15">
        <v>2297</v>
      </c>
      <c r="AH15">
        <v>-2092</v>
      </c>
      <c r="AJ15">
        <v>-4704</v>
      </c>
      <c r="AK15">
        <v>288</v>
      </c>
      <c r="AL15">
        <v>-40</v>
      </c>
      <c r="AM15">
        <v>738</v>
      </c>
      <c r="AN15">
        <v>104.900311687</v>
      </c>
      <c r="AO15">
        <v>104.89580939699999</v>
      </c>
      <c r="AP15">
        <v>104.912245493</v>
      </c>
      <c r="AQ15">
        <v>104.916525955</v>
      </c>
      <c r="AR15">
        <v>104.91017264600001</v>
      </c>
      <c r="AS15">
        <v>104.91295412300001</v>
      </c>
      <c r="AT15">
        <v>104.93087282499999</v>
      </c>
      <c r="AU15">
        <v>104.938113645</v>
      </c>
      <c r="AV15">
        <v>104.912874229</v>
      </c>
      <c r="AW15">
        <v>104.915883843</v>
      </c>
      <c r="AX15">
        <v>104.907581081</v>
      </c>
      <c r="AY15">
        <v>104.94995575199999</v>
      </c>
      <c r="AZ15">
        <v>107.06</v>
      </c>
      <c r="BA15">
        <v>107.06</v>
      </c>
      <c r="BB15">
        <v>107.06</v>
      </c>
      <c r="BC15">
        <v>107.06</v>
      </c>
      <c r="BD15">
        <v>0</v>
      </c>
      <c r="BE15">
        <v>3.4510000000000001</v>
      </c>
      <c r="BF15">
        <v>106.84</v>
      </c>
      <c r="BG15">
        <v>0</v>
      </c>
      <c r="BH15">
        <v>107.06</v>
      </c>
      <c r="BI15">
        <v>0.26</v>
      </c>
      <c r="BJ15">
        <v>107.006</v>
      </c>
      <c r="BK15">
        <v>-6.2E-2</v>
      </c>
      <c r="BL15">
        <v>-0.111</v>
      </c>
      <c r="BM15">
        <v>107.001</v>
      </c>
      <c r="BN15">
        <v>5.3999999999999999E-2</v>
      </c>
      <c r="BO15">
        <v>-4.9000000000000002E-2</v>
      </c>
      <c r="BP15">
        <v>3.4620000000000002</v>
      </c>
      <c r="BQ15">
        <v>4.4297000000000004</v>
      </c>
      <c r="BR15">
        <v>107.122</v>
      </c>
      <c r="BS15">
        <v>3.4380000000000002</v>
      </c>
      <c r="BT15">
        <v>15</v>
      </c>
      <c r="BU15">
        <v>0</v>
      </c>
      <c r="BV15">
        <v>0</v>
      </c>
      <c r="BW15">
        <v>0</v>
      </c>
      <c r="BX15">
        <v>4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111.03</v>
      </c>
      <c r="CY15">
        <v>110.8</v>
      </c>
      <c r="CZ15">
        <v>111.25</v>
      </c>
      <c r="DA15">
        <v>110.41</v>
      </c>
      <c r="DB15">
        <v>109683</v>
      </c>
      <c r="DC15">
        <v>3.6720000000000002</v>
      </c>
      <c r="DD15">
        <v>111.03</v>
      </c>
      <c r="DE15">
        <v>0.84</v>
      </c>
      <c r="DF15">
        <v>0</v>
      </c>
      <c r="DG15">
        <v>0</v>
      </c>
      <c r="DH15">
        <v>111.146</v>
      </c>
      <c r="DI15">
        <v>-0.249</v>
      </c>
      <c r="DJ15">
        <v>-0.13300000000000001</v>
      </c>
      <c r="DK15">
        <v>111.137</v>
      </c>
      <c r="DL15">
        <v>-0.11600000000000001</v>
      </c>
      <c r="DM15">
        <v>0.11600000000000001</v>
      </c>
      <c r="DN15">
        <v>3.6589999999999998</v>
      </c>
      <c r="DO15">
        <v>7.9640000000000004</v>
      </c>
      <c r="DP15">
        <v>111.279</v>
      </c>
      <c r="DQ15">
        <v>3.6440000000000001</v>
      </c>
      <c r="DR15">
        <v>284784</v>
      </c>
      <c r="DS15">
        <v>1322</v>
      </c>
      <c r="DT15">
        <v>54866</v>
      </c>
      <c r="DU15">
        <v>54653</v>
      </c>
      <c r="DV15">
        <v>0</v>
      </c>
      <c r="DW15">
        <v>215</v>
      </c>
      <c r="DX15">
        <v>787</v>
      </c>
      <c r="DY15">
        <v>505</v>
      </c>
      <c r="DZ15">
        <v>322</v>
      </c>
      <c r="EA15">
        <v>-4076</v>
      </c>
      <c r="EB15">
        <v>4143</v>
      </c>
      <c r="EC15">
        <v>-4089</v>
      </c>
      <c r="ED15">
        <v>1313</v>
      </c>
      <c r="EF15">
        <v>-1069</v>
      </c>
      <c r="EG15">
        <v>-501</v>
      </c>
      <c r="EH15">
        <v>20</v>
      </c>
      <c r="EI15">
        <v>250</v>
      </c>
      <c r="EJ15">
        <v>110.82203730499999</v>
      </c>
      <c r="EK15">
        <v>110.83542670200001</v>
      </c>
      <c r="EL15">
        <v>110.90553835199999</v>
      </c>
      <c r="EM15">
        <v>110.87806823299999</v>
      </c>
      <c r="EN15">
        <v>110.891197816</v>
      </c>
      <c r="EO15">
        <v>110.866885508</v>
      </c>
      <c r="EP15">
        <v>111.05361655199999</v>
      </c>
      <c r="EQ15">
        <v>110.92051245</v>
      </c>
      <c r="ER15">
        <v>110.894049459</v>
      </c>
      <c r="ES15">
        <v>110.89322323899999</v>
      </c>
      <c r="ET15">
        <v>110.954010152</v>
      </c>
      <c r="EU15">
        <v>110.956473755</v>
      </c>
      <c r="EV15">
        <v>126.82</v>
      </c>
      <c r="EW15">
        <v>125.9</v>
      </c>
      <c r="EX15">
        <v>126.92</v>
      </c>
      <c r="EY15">
        <v>125.72</v>
      </c>
      <c r="EZ15">
        <v>226</v>
      </c>
      <c r="FA15">
        <v>3.5409999999999999</v>
      </c>
      <c r="FB15">
        <v>126.82</v>
      </c>
      <c r="FC15">
        <v>1.2</v>
      </c>
      <c r="FD15">
        <v>127.02</v>
      </c>
      <c r="FE15">
        <v>1.67</v>
      </c>
      <c r="FF15">
        <v>126.893</v>
      </c>
      <c r="FG15">
        <v>-0.20399999999999999</v>
      </c>
      <c r="FH15">
        <v>-0.109</v>
      </c>
      <c r="FI15">
        <v>126.871</v>
      </c>
      <c r="FJ15">
        <v>-7.2999999999999995E-2</v>
      </c>
      <c r="FK15">
        <v>9.5000000000000001E-2</v>
      </c>
      <c r="FL15">
        <v>3.5379999999999998</v>
      </c>
      <c r="FM15">
        <v>17.130299999999998</v>
      </c>
      <c r="FN15">
        <v>127.024</v>
      </c>
      <c r="FO15">
        <v>3.532</v>
      </c>
      <c r="FP15">
        <v>1790</v>
      </c>
      <c r="FQ15">
        <v>-32</v>
      </c>
      <c r="FR15">
        <v>85</v>
      </c>
      <c r="FS15">
        <v>141</v>
      </c>
      <c r="FT15">
        <v>43</v>
      </c>
      <c r="FU15">
        <v>14</v>
      </c>
      <c r="FV15">
        <v>25</v>
      </c>
      <c r="FW15">
        <v>6</v>
      </c>
      <c r="FX15">
        <v>12</v>
      </c>
      <c r="FY15">
        <v>-6</v>
      </c>
      <c r="FZ15">
        <v>0</v>
      </c>
      <c r="GA15">
        <v>-16</v>
      </c>
      <c r="GB15">
        <v>0</v>
      </c>
      <c r="GD15">
        <v>10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126.21234449799999</v>
      </c>
      <c r="GK15">
        <v>126.196930233</v>
      </c>
      <c r="GL15">
        <v>126.244581006</v>
      </c>
      <c r="GM15">
        <v>126.180205128</v>
      </c>
      <c r="GN15">
        <v>0</v>
      </c>
      <c r="GO15">
        <v>0</v>
      </c>
      <c r="GP15">
        <v>126.02</v>
      </c>
      <c r="GQ15">
        <v>126.36</v>
      </c>
      <c r="GR15">
        <v>0</v>
      </c>
      <c r="GS15">
        <v>0</v>
      </c>
    </row>
    <row r="16" spans="1:201" x14ac:dyDescent="0.3">
      <c r="A16" s="2">
        <v>46056</v>
      </c>
      <c r="C16">
        <v>104.84</v>
      </c>
      <c r="D16">
        <v>104.88</v>
      </c>
      <c r="E16">
        <v>104.76</v>
      </c>
      <c r="F16">
        <v>252144</v>
      </c>
      <c r="G16">
        <v>3.31</v>
      </c>
      <c r="H16">
        <v>104.79</v>
      </c>
      <c r="I16">
        <v>0.12</v>
      </c>
      <c r="J16">
        <v>104.82</v>
      </c>
      <c r="K16">
        <v>0.34</v>
      </c>
      <c r="L16">
        <v>104.926</v>
      </c>
      <c r="M16">
        <v>-0.21299999999999999</v>
      </c>
      <c r="N16">
        <v>-7.3999999999999996E-2</v>
      </c>
      <c r="O16">
        <v>104.926</v>
      </c>
      <c r="P16">
        <v>-0.13600000000000001</v>
      </c>
      <c r="Q16">
        <v>0.13900000000000001</v>
      </c>
      <c r="R16">
        <v>3.2629999999999999</v>
      </c>
      <c r="S16">
        <v>2.7816999999999998</v>
      </c>
      <c r="T16">
        <v>105.003</v>
      </c>
      <c r="U16">
        <v>3.2370000000000001</v>
      </c>
      <c r="V16">
        <v>624300</v>
      </c>
      <c r="W16">
        <v>3223</v>
      </c>
      <c r="X16">
        <v>134910</v>
      </c>
      <c r="Y16">
        <v>117234</v>
      </c>
      <c r="Z16">
        <v>8427</v>
      </c>
      <c r="AA16">
        <v>6194</v>
      </c>
      <c r="AB16">
        <v>6915</v>
      </c>
      <c r="AC16">
        <v>318</v>
      </c>
      <c r="AD16">
        <v>211</v>
      </c>
      <c r="AE16">
        <v>-4883</v>
      </c>
      <c r="AF16">
        <v>4216</v>
      </c>
      <c r="AG16">
        <v>-6789</v>
      </c>
      <c r="AH16">
        <v>-2944</v>
      </c>
      <c r="AJ16">
        <v>7635</v>
      </c>
      <c r="AK16">
        <v>-950</v>
      </c>
      <c r="AL16">
        <v>0</v>
      </c>
      <c r="AM16">
        <v>-1835</v>
      </c>
      <c r="AN16">
        <v>104.817521673</v>
      </c>
      <c r="AO16">
        <v>104.815709622</v>
      </c>
      <c r="AP16">
        <v>104.813626996</v>
      </c>
      <c r="AQ16">
        <v>104.815580142</v>
      </c>
      <c r="AR16">
        <v>104.814028514</v>
      </c>
      <c r="AS16">
        <v>104.81796321100001</v>
      </c>
      <c r="AT16">
        <v>104.823647583</v>
      </c>
      <c r="AU16">
        <v>104.795660743</v>
      </c>
      <c r="AV16">
        <v>104.810031354</v>
      </c>
      <c r="AW16">
        <v>104.813919996</v>
      </c>
      <c r="AX16">
        <v>104.806187399</v>
      </c>
      <c r="AY16">
        <v>104.817061823</v>
      </c>
      <c r="AZ16">
        <v>106.82</v>
      </c>
      <c r="BA16">
        <v>106.82</v>
      </c>
      <c r="BB16">
        <v>106.82</v>
      </c>
      <c r="BC16">
        <v>106.82</v>
      </c>
      <c r="BD16">
        <v>20</v>
      </c>
      <c r="BE16">
        <v>3.5009999999999999</v>
      </c>
      <c r="BF16">
        <v>106.82</v>
      </c>
      <c r="BG16">
        <v>0</v>
      </c>
      <c r="BH16">
        <v>106.82</v>
      </c>
      <c r="BI16">
        <v>0</v>
      </c>
      <c r="BJ16">
        <v>106.783</v>
      </c>
      <c r="BK16">
        <v>-8.4000000000000005E-2</v>
      </c>
      <c r="BL16">
        <v>-0.11600000000000001</v>
      </c>
      <c r="BM16">
        <v>106.798</v>
      </c>
      <c r="BN16">
        <v>3.6999999999999998E-2</v>
      </c>
      <c r="BO16">
        <v>-3.2000000000000001E-2</v>
      </c>
      <c r="BP16">
        <v>3.5089999999999999</v>
      </c>
      <c r="BQ16">
        <v>4.4279999999999999</v>
      </c>
      <c r="BR16">
        <v>106.904</v>
      </c>
      <c r="BS16">
        <v>3.4830000000000001</v>
      </c>
      <c r="BT16">
        <v>25</v>
      </c>
      <c r="BU16">
        <v>10</v>
      </c>
      <c r="BV16">
        <v>10</v>
      </c>
      <c r="BW16">
        <v>10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106.82</v>
      </c>
      <c r="CO16">
        <v>106.82</v>
      </c>
      <c r="CP16">
        <v>106.82</v>
      </c>
      <c r="CQ16">
        <v>106.82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110.6</v>
      </c>
      <c r="CY16">
        <v>110.67</v>
      </c>
      <c r="CZ16">
        <v>110.8</v>
      </c>
      <c r="DA16">
        <v>110.36</v>
      </c>
      <c r="DB16">
        <v>134439</v>
      </c>
      <c r="DC16">
        <v>3.7210000000000001</v>
      </c>
      <c r="DD16">
        <v>110.6</v>
      </c>
      <c r="DE16">
        <v>0.44</v>
      </c>
      <c r="DF16">
        <v>110.58</v>
      </c>
      <c r="DG16">
        <v>1.42</v>
      </c>
      <c r="DH16">
        <v>110.696</v>
      </c>
      <c r="DI16">
        <v>-0.23200000000000001</v>
      </c>
      <c r="DJ16">
        <v>-0.13600000000000001</v>
      </c>
      <c r="DK16">
        <v>110.71299999999999</v>
      </c>
      <c r="DL16">
        <v>-9.6000000000000002E-2</v>
      </c>
      <c r="DM16">
        <v>9.6000000000000002E-2</v>
      </c>
      <c r="DN16">
        <v>3.71</v>
      </c>
      <c r="DO16">
        <v>7.9577999999999998</v>
      </c>
      <c r="DP16">
        <v>110.83199999999999</v>
      </c>
      <c r="DQ16">
        <v>3.6949999999999998</v>
      </c>
      <c r="DR16">
        <v>285162</v>
      </c>
      <c r="DS16">
        <v>378</v>
      </c>
      <c r="DT16">
        <v>69336</v>
      </c>
      <c r="DU16">
        <v>65103</v>
      </c>
      <c r="DV16">
        <v>22173</v>
      </c>
      <c r="DW16">
        <v>254</v>
      </c>
      <c r="DX16">
        <v>426</v>
      </c>
      <c r="DY16">
        <v>428</v>
      </c>
      <c r="DZ16">
        <v>163</v>
      </c>
      <c r="EA16">
        <v>-5266</v>
      </c>
      <c r="EB16">
        <v>5204</v>
      </c>
      <c r="EC16">
        <v>-6042</v>
      </c>
      <c r="ED16">
        <v>-406</v>
      </c>
      <c r="EF16">
        <v>1405</v>
      </c>
      <c r="EG16">
        <v>410</v>
      </c>
      <c r="EH16">
        <v>-10</v>
      </c>
      <c r="EI16">
        <v>-623</v>
      </c>
      <c r="EJ16">
        <v>110.577330921</v>
      </c>
      <c r="EK16">
        <v>110.581689946</v>
      </c>
      <c r="EL16">
        <v>110.576216304</v>
      </c>
      <c r="EM16">
        <v>110.570883611</v>
      </c>
      <c r="EN16">
        <v>110.577088819</v>
      </c>
      <c r="EO16">
        <v>110.5650977</v>
      </c>
      <c r="EP16">
        <v>110.574459229</v>
      </c>
      <c r="EQ16">
        <v>110.59693437200001</v>
      </c>
      <c r="ER16">
        <v>110.560459102</v>
      </c>
      <c r="ES16">
        <v>110.586784213</v>
      </c>
      <c r="ET16">
        <v>110.623598184</v>
      </c>
      <c r="EU16">
        <v>110.596871302</v>
      </c>
      <c r="EV16">
        <v>125.3</v>
      </c>
      <c r="EW16">
        <v>126.44</v>
      </c>
      <c r="EX16">
        <v>126.44</v>
      </c>
      <c r="EY16">
        <v>124.8</v>
      </c>
      <c r="EZ16">
        <v>459</v>
      </c>
      <c r="FA16">
        <v>3.6120000000000001</v>
      </c>
      <c r="FB16">
        <v>125.3</v>
      </c>
      <c r="FC16">
        <v>1.64</v>
      </c>
      <c r="FD16">
        <v>125.39</v>
      </c>
      <c r="FE16">
        <v>5.05</v>
      </c>
      <c r="FF16">
        <v>125.55500000000001</v>
      </c>
      <c r="FG16">
        <v>-0.373</v>
      </c>
      <c r="FH16">
        <v>-0.11799999999999999</v>
      </c>
      <c r="FI16">
        <v>125.512</v>
      </c>
      <c r="FJ16">
        <v>-0.255</v>
      </c>
      <c r="FK16">
        <v>0.255</v>
      </c>
      <c r="FL16">
        <v>3.6</v>
      </c>
      <c r="FM16">
        <v>17.048500000000001</v>
      </c>
      <c r="FN16">
        <v>125.673</v>
      </c>
      <c r="FO16">
        <v>3.5950000000000002</v>
      </c>
      <c r="FP16">
        <v>1770</v>
      </c>
      <c r="FQ16">
        <v>-20</v>
      </c>
      <c r="FR16">
        <v>290</v>
      </c>
      <c r="FS16">
        <v>169</v>
      </c>
      <c r="FT16">
        <v>137</v>
      </c>
      <c r="FU16">
        <v>32</v>
      </c>
      <c r="FV16">
        <v>12</v>
      </c>
      <c r="FW16">
        <v>5</v>
      </c>
      <c r="FX16">
        <v>3</v>
      </c>
      <c r="FY16">
        <v>-73</v>
      </c>
      <c r="FZ16">
        <v>75</v>
      </c>
      <c r="GA16">
        <v>-63</v>
      </c>
      <c r="GB16">
        <v>0</v>
      </c>
      <c r="GD16">
        <v>-10</v>
      </c>
      <c r="GE16">
        <v>0</v>
      </c>
      <c r="GF16">
        <v>0</v>
      </c>
      <c r="GG16">
        <v>0</v>
      </c>
      <c r="GH16">
        <v>125.33653333300001</v>
      </c>
      <c r="GI16">
        <v>0</v>
      </c>
      <c r="GJ16">
        <v>125.46845070400001</v>
      </c>
      <c r="GK16">
        <v>125.434813084</v>
      </c>
      <c r="GL16">
        <v>125.399692308</v>
      </c>
      <c r="GM16">
        <v>125.43943299</v>
      </c>
      <c r="GN16">
        <v>0</v>
      </c>
      <c r="GO16">
        <v>0</v>
      </c>
      <c r="GP16">
        <v>126.21333333299999</v>
      </c>
      <c r="GQ16">
        <v>125.39</v>
      </c>
      <c r="GR16">
        <v>0</v>
      </c>
      <c r="GS16">
        <v>0</v>
      </c>
    </row>
    <row r="17" spans="1:201" x14ac:dyDescent="0.3">
      <c r="A17" s="2">
        <v>46057</v>
      </c>
      <c r="C17">
        <v>104.78</v>
      </c>
      <c r="D17">
        <v>104.83</v>
      </c>
      <c r="E17">
        <v>104.65</v>
      </c>
      <c r="F17">
        <v>240965</v>
      </c>
      <c r="G17">
        <v>3.351</v>
      </c>
      <c r="H17">
        <v>104.67</v>
      </c>
      <c r="I17">
        <v>0.18</v>
      </c>
      <c r="J17">
        <v>104.75</v>
      </c>
      <c r="K17">
        <v>0.56999999999999995</v>
      </c>
      <c r="L17">
        <v>104.803</v>
      </c>
      <c r="M17">
        <v>-0.217</v>
      </c>
      <c r="N17">
        <v>-7.8E-2</v>
      </c>
      <c r="O17">
        <v>104.803</v>
      </c>
      <c r="P17">
        <v>-0.13300000000000001</v>
      </c>
      <c r="Q17">
        <v>0.13900000000000001</v>
      </c>
      <c r="R17">
        <v>3.3050000000000002</v>
      </c>
      <c r="S17">
        <v>2.7810000000000001</v>
      </c>
      <c r="T17">
        <v>104.887</v>
      </c>
      <c r="U17">
        <v>3.2759999999999998</v>
      </c>
      <c r="V17">
        <v>638393</v>
      </c>
      <c r="W17">
        <v>14093</v>
      </c>
      <c r="X17">
        <v>135755</v>
      </c>
      <c r="Y17">
        <v>105210</v>
      </c>
      <c r="Z17">
        <v>8222</v>
      </c>
      <c r="AA17">
        <v>1924</v>
      </c>
      <c r="AB17">
        <v>4535</v>
      </c>
      <c r="AC17">
        <v>387</v>
      </c>
      <c r="AD17">
        <v>181</v>
      </c>
      <c r="AE17">
        <v>-6532</v>
      </c>
      <c r="AF17">
        <v>6939</v>
      </c>
      <c r="AG17">
        <v>-504</v>
      </c>
      <c r="AH17">
        <v>-1250</v>
      </c>
      <c r="AJ17">
        <v>-2926</v>
      </c>
      <c r="AK17">
        <v>-1615</v>
      </c>
      <c r="AL17">
        <v>0</v>
      </c>
      <c r="AM17">
        <v>-237</v>
      </c>
      <c r="AN17">
        <v>104.738417367</v>
      </c>
      <c r="AO17">
        <v>104.74298374</v>
      </c>
      <c r="AP17">
        <v>104.736740791</v>
      </c>
      <c r="AQ17">
        <v>104.73193545700001</v>
      </c>
      <c r="AR17">
        <v>104.73657654199999</v>
      </c>
      <c r="AS17">
        <v>104.73013926599999</v>
      </c>
      <c r="AT17">
        <v>104.72769356400001</v>
      </c>
      <c r="AU17">
        <v>104.719875203</v>
      </c>
      <c r="AV17">
        <v>104.739667979</v>
      </c>
      <c r="AW17">
        <v>104.745675173</v>
      </c>
      <c r="AX17">
        <v>104.731089918</v>
      </c>
      <c r="AY17">
        <v>104.716166348</v>
      </c>
      <c r="AZ17">
        <v>106.82</v>
      </c>
      <c r="BA17">
        <v>106.82</v>
      </c>
      <c r="BB17">
        <v>106.82</v>
      </c>
      <c r="BC17">
        <v>106.82</v>
      </c>
      <c r="BD17">
        <v>0</v>
      </c>
      <c r="BE17">
        <v>3.5009999999999999</v>
      </c>
      <c r="BF17">
        <v>106.71</v>
      </c>
      <c r="BG17">
        <v>0</v>
      </c>
      <c r="BH17">
        <v>106.82</v>
      </c>
      <c r="BI17">
        <v>0</v>
      </c>
      <c r="BJ17">
        <v>106.58499999999999</v>
      </c>
      <c r="BK17">
        <v>0.11</v>
      </c>
      <c r="BL17">
        <v>-0.12</v>
      </c>
      <c r="BM17">
        <v>106.59</v>
      </c>
      <c r="BN17">
        <v>0.23499999999999999</v>
      </c>
      <c r="BO17">
        <v>-0.23</v>
      </c>
      <c r="BP17">
        <v>3.5510000000000002</v>
      </c>
      <c r="BQ17">
        <v>4.4279999999999999</v>
      </c>
      <c r="BR17">
        <v>106.71</v>
      </c>
      <c r="BS17">
        <v>3.5249999999999999</v>
      </c>
      <c r="BT17">
        <v>25</v>
      </c>
      <c r="BU17">
        <v>0</v>
      </c>
      <c r="BV17">
        <v>0</v>
      </c>
      <c r="BW17">
        <v>0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110.15</v>
      </c>
      <c r="CY17">
        <v>110.58</v>
      </c>
      <c r="CZ17">
        <v>110.7</v>
      </c>
      <c r="DA17">
        <v>110.08</v>
      </c>
      <c r="DB17">
        <v>93577</v>
      </c>
      <c r="DC17">
        <v>3.7719999999999998</v>
      </c>
      <c r="DD17">
        <v>110.15</v>
      </c>
      <c r="DE17">
        <v>0.62</v>
      </c>
      <c r="DF17">
        <v>110.39</v>
      </c>
      <c r="DG17">
        <v>1.96</v>
      </c>
      <c r="DH17">
        <v>110.256</v>
      </c>
      <c r="DI17">
        <v>-0.24199999999999999</v>
      </c>
      <c r="DJ17">
        <v>-0.13600000000000001</v>
      </c>
      <c r="DK17">
        <v>110.221</v>
      </c>
      <c r="DL17">
        <v>-0.106</v>
      </c>
      <c r="DM17">
        <v>0.106</v>
      </c>
      <c r="DN17">
        <v>3.76</v>
      </c>
      <c r="DO17">
        <v>7.9513999999999996</v>
      </c>
      <c r="DP17">
        <v>110.392</v>
      </c>
      <c r="DQ17">
        <v>3.7440000000000002</v>
      </c>
      <c r="DR17">
        <v>288378</v>
      </c>
      <c r="DS17">
        <v>3216</v>
      </c>
      <c r="DT17">
        <v>50658</v>
      </c>
      <c r="DU17">
        <v>42919</v>
      </c>
      <c r="DV17">
        <v>19514</v>
      </c>
      <c r="DW17">
        <v>310</v>
      </c>
      <c r="DX17">
        <v>587</v>
      </c>
      <c r="DY17">
        <v>518</v>
      </c>
      <c r="DZ17">
        <v>184</v>
      </c>
      <c r="EA17">
        <v>2752</v>
      </c>
      <c r="EB17">
        <v>-2889</v>
      </c>
      <c r="EC17">
        <v>1191</v>
      </c>
      <c r="ED17">
        <v>-1255</v>
      </c>
      <c r="EF17">
        <v>3540</v>
      </c>
      <c r="EG17">
        <v>-209</v>
      </c>
      <c r="EH17">
        <v>0</v>
      </c>
      <c r="EI17">
        <v>-515</v>
      </c>
      <c r="EJ17">
        <v>110.377060661</v>
      </c>
      <c r="EK17">
        <v>110.389770611</v>
      </c>
      <c r="EL17">
        <v>110.366222173</v>
      </c>
      <c r="EM17">
        <v>110.34588036</v>
      </c>
      <c r="EN17">
        <v>110.367624702</v>
      </c>
      <c r="EO17">
        <v>110.353878081</v>
      </c>
      <c r="EP17">
        <v>110.336307847</v>
      </c>
      <c r="EQ17">
        <v>110.30466235</v>
      </c>
      <c r="ER17">
        <v>110.37053145900001</v>
      </c>
      <c r="ES17">
        <v>110.35376684000001</v>
      </c>
      <c r="ET17">
        <v>110.38880701799999</v>
      </c>
      <c r="EU17">
        <v>110.302079589</v>
      </c>
      <c r="EV17">
        <v>124.88</v>
      </c>
      <c r="EW17">
        <v>125.3</v>
      </c>
      <c r="EX17">
        <v>125.3</v>
      </c>
      <c r="EY17">
        <v>124.7</v>
      </c>
      <c r="EZ17">
        <v>197</v>
      </c>
      <c r="FA17">
        <v>3.6320000000000001</v>
      </c>
      <c r="FB17">
        <v>124.88</v>
      </c>
      <c r="FC17">
        <v>0.6</v>
      </c>
      <c r="FD17">
        <v>125.03</v>
      </c>
      <c r="FE17">
        <v>2.12</v>
      </c>
      <c r="FF17">
        <v>124.66</v>
      </c>
      <c r="FG17">
        <v>9.2999999999999999E-2</v>
      </c>
      <c r="FH17">
        <v>-0.127</v>
      </c>
      <c r="FI17">
        <v>124.617</v>
      </c>
      <c r="FJ17">
        <v>0.22</v>
      </c>
      <c r="FK17">
        <v>-0.22</v>
      </c>
      <c r="FL17">
        <v>3.6419999999999999</v>
      </c>
      <c r="FM17">
        <v>17.025700000000001</v>
      </c>
      <c r="FN17">
        <v>124.78700000000001</v>
      </c>
      <c r="FO17">
        <v>3.6360000000000001</v>
      </c>
      <c r="FP17">
        <v>1801</v>
      </c>
      <c r="FQ17">
        <v>31</v>
      </c>
      <c r="FR17">
        <v>113</v>
      </c>
      <c r="FS17">
        <v>84</v>
      </c>
      <c r="FT17">
        <v>33</v>
      </c>
      <c r="FU17">
        <v>18</v>
      </c>
      <c r="FV17">
        <v>10</v>
      </c>
      <c r="FW17">
        <v>6</v>
      </c>
      <c r="FX17">
        <v>1</v>
      </c>
      <c r="FY17">
        <v>-58</v>
      </c>
      <c r="FZ17">
        <v>50</v>
      </c>
      <c r="GA17">
        <v>-68</v>
      </c>
      <c r="GB17">
        <v>0</v>
      </c>
      <c r="GD17">
        <v>10</v>
      </c>
      <c r="GE17">
        <v>0</v>
      </c>
      <c r="GF17">
        <v>0</v>
      </c>
      <c r="GG17">
        <v>0</v>
      </c>
      <c r="GH17">
        <v>124.88</v>
      </c>
      <c r="GI17">
        <v>0</v>
      </c>
      <c r="GJ17">
        <v>125.042238806</v>
      </c>
      <c r="GK17">
        <v>125.01260416700001</v>
      </c>
      <c r="GL17">
        <v>125.07297872300001</v>
      </c>
      <c r="GM17">
        <v>124.99271604899999</v>
      </c>
      <c r="GN17">
        <v>0</v>
      </c>
      <c r="GO17">
        <v>0</v>
      </c>
      <c r="GP17">
        <v>124.97</v>
      </c>
      <c r="GQ17">
        <v>125.12</v>
      </c>
      <c r="GR17">
        <v>0</v>
      </c>
      <c r="GS17">
        <v>0</v>
      </c>
    </row>
    <row r="18" spans="1:201" x14ac:dyDescent="0.3">
      <c r="A18" s="2">
        <v>46058</v>
      </c>
      <c r="C18">
        <v>104.71</v>
      </c>
      <c r="D18">
        <v>104.81</v>
      </c>
      <c r="E18">
        <v>104.69</v>
      </c>
      <c r="F18">
        <v>179577</v>
      </c>
      <c r="G18">
        <v>3.327</v>
      </c>
      <c r="H18">
        <v>104.74</v>
      </c>
      <c r="I18">
        <v>0.12</v>
      </c>
      <c r="J18">
        <v>104.75</v>
      </c>
      <c r="K18">
        <v>0.44</v>
      </c>
      <c r="L18">
        <v>104.876</v>
      </c>
      <c r="M18">
        <v>-0.214</v>
      </c>
      <c r="N18">
        <v>-7.4999999999999997E-2</v>
      </c>
      <c r="O18">
        <v>104.876</v>
      </c>
      <c r="P18">
        <v>-0.13600000000000001</v>
      </c>
      <c r="Q18">
        <v>0.13900000000000001</v>
      </c>
      <c r="R18">
        <v>3.28</v>
      </c>
      <c r="S18">
        <v>2.7814000000000001</v>
      </c>
      <c r="T18">
        <v>104.95399999999999</v>
      </c>
      <c r="U18">
        <v>3.2530000000000001</v>
      </c>
      <c r="V18">
        <v>649405</v>
      </c>
      <c r="W18">
        <v>11012</v>
      </c>
      <c r="X18">
        <v>95446</v>
      </c>
      <c r="Y18">
        <v>84131</v>
      </c>
      <c r="Z18">
        <v>7790</v>
      </c>
      <c r="AA18">
        <v>3308</v>
      </c>
      <c r="AB18">
        <v>5438</v>
      </c>
      <c r="AC18">
        <v>268</v>
      </c>
      <c r="AD18">
        <v>279</v>
      </c>
      <c r="AE18">
        <v>-873</v>
      </c>
      <c r="AF18">
        <v>1295</v>
      </c>
      <c r="AG18">
        <v>-741</v>
      </c>
      <c r="AH18">
        <v>-575</v>
      </c>
      <c r="AJ18">
        <v>-1679</v>
      </c>
      <c r="AK18">
        <v>1311</v>
      </c>
      <c r="AL18">
        <v>0</v>
      </c>
      <c r="AM18">
        <v>811</v>
      </c>
      <c r="AN18">
        <v>104.75443702600001</v>
      </c>
      <c r="AO18">
        <v>104.754414944</v>
      </c>
      <c r="AP18">
        <v>104.75274844400001</v>
      </c>
      <c r="AQ18">
        <v>104.752778343</v>
      </c>
      <c r="AR18">
        <v>104.75090464900001</v>
      </c>
      <c r="AS18">
        <v>104.753590914</v>
      </c>
      <c r="AT18">
        <v>104.754498963</v>
      </c>
      <c r="AU18">
        <v>104.744700976</v>
      </c>
      <c r="AV18">
        <v>104.756884524</v>
      </c>
      <c r="AW18">
        <v>104.75124178900001</v>
      </c>
      <c r="AX18">
        <v>104.775299539</v>
      </c>
      <c r="AY18">
        <v>104.780031153</v>
      </c>
      <c r="AZ18">
        <v>106.66</v>
      </c>
      <c r="BA18">
        <v>106.66</v>
      </c>
      <c r="BB18">
        <v>106.66</v>
      </c>
      <c r="BC18">
        <v>106.66</v>
      </c>
      <c r="BD18">
        <v>20</v>
      </c>
      <c r="BE18">
        <v>3.5350000000000001</v>
      </c>
      <c r="BF18">
        <v>106.66</v>
      </c>
      <c r="BG18">
        <v>0</v>
      </c>
      <c r="BH18">
        <v>106.66</v>
      </c>
      <c r="BI18">
        <v>0</v>
      </c>
      <c r="BJ18">
        <v>106.746</v>
      </c>
      <c r="BK18">
        <v>-0.20100000000000001</v>
      </c>
      <c r="BL18">
        <v>-0.111</v>
      </c>
      <c r="BM18">
        <v>106.76</v>
      </c>
      <c r="BN18">
        <v>-8.5999999999999993E-2</v>
      </c>
      <c r="BO18">
        <v>0.09</v>
      </c>
      <c r="BP18">
        <v>3.5169999999999999</v>
      </c>
      <c r="BQ18">
        <v>4.4268000000000001</v>
      </c>
      <c r="BR18">
        <v>106.861</v>
      </c>
      <c r="BS18">
        <v>3.4929999999999999</v>
      </c>
      <c r="BT18">
        <v>25</v>
      </c>
      <c r="BU18">
        <v>0</v>
      </c>
      <c r="BV18">
        <v>20</v>
      </c>
      <c r="BW18">
        <v>0</v>
      </c>
      <c r="BX18">
        <v>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106.66</v>
      </c>
      <c r="CO18">
        <v>106.66</v>
      </c>
      <c r="CP18">
        <v>106.66</v>
      </c>
      <c r="CQ18">
        <v>106.66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110.4</v>
      </c>
      <c r="CY18">
        <v>110.15</v>
      </c>
      <c r="CZ18">
        <v>110.63</v>
      </c>
      <c r="DA18">
        <v>110.15</v>
      </c>
      <c r="DB18">
        <v>91897</v>
      </c>
      <c r="DC18">
        <v>3.7440000000000002</v>
      </c>
      <c r="DD18">
        <v>110.4</v>
      </c>
      <c r="DE18">
        <v>0.48</v>
      </c>
      <c r="DF18">
        <v>110.45</v>
      </c>
      <c r="DG18">
        <v>1.49</v>
      </c>
      <c r="DH18">
        <v>110.511</v>
      </c>
      <c r="DI18">
        <v>-0.247</v>
      </c>
      <c r="DJ18">
        <v>-0.127</v>
      </c>
      <c r="DK18">
        <v>110.511</v>
      </c>
      <c r="DL18">
        <v>-0.111</v>
      </c>
      <c r="DM18">
        <v>0.12</v>
      </c>
      <c r="DN18">
        <v>3.7309999999999999</v>
      </c>
      <c r="DO18">
        <v>7.9550000000000001</v>
      </c>
      <c r="DP18">
        <v>110.64700000000001</v>
      </c>
      <c r="DQ18">
        <v>3.7160000000000002</v>
      </c>
      <c r="DR18">
        <v>286202</v>
      </c>
      <c r="DS18">
        <v>-2176</v>
      </c>
      <c r="DT18">
        <v>44465</v>
      </c>
      <c r="DU18">
        <v>47019</v>
      </c>
      <c r="DV18">
        <v>17535</v>
      </c>
      <c r="DW18">
        <v>128</v>
      </c>
      <c r="DX18">
        <v>617</v>
      </c>
      <c r="DY18">
        <v>406</v>
      </c>
      <c r="DZ18">
        <v>199</v>
      </c>
      <c r="EA18">
        <v>-1214</v>
      </c>
      <c r="EB18">
        <v>1353</v>
      </c>
      <c r="EC18">
        <v>-1036</v>
      </c>
      <c r="ED18">
        <v>154</v>
      </c>
      <c r="EF18">
        <v>1784</v>
      </c>
      <c r="EG18">
        <v>-1416</v>
      </c>
      <c r="EH18">
        <v>0</v>
      </c>
      <c r="EI18">
        <v>-700</v>
      </c>
      <c r="EJ18">
        <v>110.44298808800001</v>
      </c>
      <c r="EK18">
        <v>110.448085474</v>
      </c>
      <c r="EL18">
        <v>110.453927213</v>
      </c>
      <c r="EM18">
        <v>110.44591599</v>
      </c>
      <c r="EN18">
        <v>110.454929714</v>
      </c>
      <c r="EO18">
        <v>110.440888943</v>
      </c>
      <c r="EP18">
        <v>110.44376700399999</v>
      </c>
      <c r="EQ18">
        <v>110.446682639</v>
      </c>
      <c r="ER18">
        <v>110.45064149</v>
      </c>
      <c r="ES18">
        <v>110.463536737</v>
      </c>
      <c r="ET18">
        <v>110.506827586</v>
      </c>
      <c r="EU18">
        <v>110.47033495399999</v>
      </c>
      <c r="EV18">
        <v>124.9</v>
      </c>
      <c r="EW18">
        <v>124.94</v>
      </c>
      <c r="EX18">
        <v>125.28</v>
      </c>
      <c r="EY18">
        <v>124.76</v>
      </c>
      <c r="EZ18">
        <v>229</v>
      </c>
      <c r="FA18">
        <v>3.6309999999999998</v>
      </c>
      <c r="FB18">
        <v>124.9</v>
      </c>
      <c r="FC18">
        <v>0.52</v>
      </c>
      <c r="FD18">
        <v>124.94</v>
      </c>
      <c r="FE18">
        <v>2.19</v>
      </c>
      <c r="FF18">
        <v>125.149</v>
      </c>
      <c r="FG18">
        <v>-0.377</v>
      </c>
      <c r="FH18">
        <v>-0.128</v>
      </c>
      <c r="FI18">
        <v>125.10599999999999</v>
      </c>
      <c r="FJ18">
        <v>-0.249</v>
      </c>
      <c r="FK18">
        <v>0.249</v>
      </c>
      <c r="FL18">
        <v>3.6190000000000002</v>
      </c>
      <c r="FM18">
        <v>17.026800000000001</v>
      </c>
      <c r="FN18">
        <v>125.277</v>
      </c>
      <c r="FO18">
        <v>3.613</v>
      </c>
      <c r="FP18">
        <v>1742</v>
      </c>
      <c r="FQ18">
        <v>-59</v>
      </c>
      <c r="FR18">
        <v>144</v>
      </c>
      <c r="FS18">
        <v>85</v>
      </c>
      <c r="FT18">
        <v>57</v>
      </c>
      <c r="FU18">
        <v>25</v>
      </c>
      <c r="FV18">
        <v>26</v>
      </c>
      <c r="FW18">
        <v>6</v>
      </c>
      <c r="FX18">
        <v>4</v>
      </c>
      <c r="FY18">
        <v>3</v>
      </c>
      <c r="FZ18">
        <v>0</v>
      </c>
      <c r="GA18">
        <v>-77</v>
      </c>
      <c r="GB18">
        <v>0</v>
      </c>
      <c r="GD18">
        <v>10</v>
      </c>
      <c r="GE18">
        <v>70</v>
      </c>
      <c r="GF18">
        <v>0</v>
      </c>
      <c r="GG18">
        <v>0</v>
      </c>
      <c r="GH18">
        <v>0</v>
      </c>
      <c r="GI18">
        <v>0</v>
      </c>
      <c r="GJ18">
        <v>124.963888889</v>
      </c>
      <c r="GK18">
        <v>124.97436619699999</v>
      </c>
      <c r="GL18">
        <v>125.013235294</v>
      </c>
      <c r="GM18">
        <v>124.97436619699999</v>
      </c>
      <c r="GN18">
        <v>0</v>
      </c>
      <c r="GO18">
        <v>0</v>
      </c>
      <c r="GP18">
        <v>124.98</v>
      </c>
      <c r="GQ18">
        <v>0</v>
      </c>
      <c r="GR18">
        <v>124.865714286</v>
      </c>
      <c r="GS18">
        <v>0</v>
      </c>
    </row>
    <row r="19" spans="1:201" x14ac:dyDescent="0.3">
      <c r="A19" s="2">
        <v>46059</v>
      </c>
      <c r="C19">
        <v>104.94</v>
      </c>
      <c r="D19">
        <v>104.94</v>
      </c>
      <c r="E19">
        <v>104.65</v>
      </c>
      <c r="F19">
        <v>231133</v>
      </c>
      <c r="G19">
        <v>3.3580000000000001</v>
      </c>
      <c r="H19">
        <v>104.65</v>
      </c>
      <c r="I19">
        <v>0.28999999999999998</v>
      </c>
      <c r="J19">
        <v>104.81</v>
      </c>
      <c r="K19">
        <v>1.03</v>
      </c>
      <c r="L19">
        <v>104.8</v>
      </c>
      <c r="M19">
        <v>-0.22600000000000001</v>
      </c>
      <c r="N19">
        <v>-7.5999999999999998E-2</v>
      </c>
      <c r="O19">
        <v>104.795</v>
      </c>
      <c r="P19">
        <v>-0.15</v>
      </c>
      <c r="Q19">
        <v>0.15</v>
      </c>
      <c r="R19">
        <v>3.3069999999999999</v>
      </c>
      <c r="S19">
        <v>2.7808999999999999</v>
      </c>
      <c r="T19">
        <v>104.876</v>
      </c>
      <c r="U19">
        <v>3.28</v>
      </c>
      <c r="V19">
        <v>656150</v>
      </c>
      <c r="W19">
        <v>6745</v>
      </c>
      <c r="X19">
        <v>139200</v>
      </c>
      <c r="Y19">
        <v>91433</v>
      </c>
      <c r="Z19">
        <v>6816</v>
      </c>
      <c r="AA19">
        <v>2406</v>
      </c>
      <c r="AB19">
        <v>7350</v>
      </c>
      <c r="AC19">
        <v>527</v>
      </c>
      <c r="AD19">
        <v>224</v>
      </c>
      <c r="AE19">
        <v>12889</v>
      </c>
      <c r="AF19">
        <v>-13038</v>
      </c>
      <c r="AG19">
        <v>7273</v>
      </c>
      <c r="AH19">
        <v>1021</v>
      </c>
      <c r="AJ19">
        <v>4255</v>
      </c>
      <c r="AK19">
        <v>-180</v>
      </c>
      <c r="AL19">
        <v>0</v>
      </c>
      <c r="AM19">
        <v>520</v>
      </c>
      <c r="AN19">
        <v>104.80779931399999</v>
      </c>
      <c r="AO19">
        <v>104.811652897</v>
      </c>
      <c r="AP19">
        <v>104.793597539</v>
      </c>
      <c r="AQ19">
        <v>104.78710556999999</v>
      </c>
      <c r="AR19">
        <v>104.795059404</v>
      </c>
      <c r="AS19">
        <v>104.79665845300001</v>
      </c>
      <c r="AT19">
        <v>104.808580194</v>
      </c>
      <c r="AU19">
        <v>104.707403199</v>
      </c>
      <c r="AV19">
        <v>104.785090602</v>
      </c>
      <c r="AW19">
        <v>104.788153572</v>
      </c>
      <c r="AX19">
        <v>104.793431373</v>
      </c>
      <c r="AY19">
        <v>104.69724954500001</v>
      </c>
      <c r="AZ19">
        <v>106.66</v>
      </c>
      <c r="BA19">
        <v>106.66</v>
      </c>
      <c r="BB19">
        <v>106.66</v>
      </c>
      <c r="BC19">
        <v>106.66</v>
      </c>
      <c r="BD19">
        <v>0</v>
      </c>
      <c r="BE19">
        <v>3.5350000000000001</v>
      </c>
      <c r="BF19">
        <v>106.9</v>
      </c>
      <c r="BG19">
        <v>0</v>
      </c>
      <c r="BH19">
        <v>106.66</v>
      </c>
      <c r="BI19">
        <v>0</v>
      </c>
      <c r="BJ19">
        <v>106.651</v>
      </c>
      <c r="BK19">
        <v>-0.104</v>
      </c>
      <c r="BL19">
        <v>-0.113</v>
      </c>
      <c r="BM19">
        <v>106.651</v>
      </c>
      <c r="BN19">
        <v>8.9999999999999993E-3</v>
      </c>
      <c r="BO19">
        <v>-8.9999999999999993E-3</v>
      </c>
      <c r="BP19">
        <v>3.5379999999999998</v>
      </c>
      <c r="BQ19">
        <v>4.4268000000000001</v>
      </c>
      <c r="BR19">
        <v>106.764</v>
      </c>
      <c r="BS19">
        <v>3.5129999999999999</v>
      </c>
      <c r="BT19">
        <v>25</v>
      </c>
      <c r="BU19">
        <v>0</v>
      </c>
      <c r="BV19">
        <v>0</v>
      </c>
      <c r="BW19">
        <v>0</v>
      </c>
      <c r="BX19">
        <v>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110.13</v>
      </c>
      <c r="CY19">
        <v>111</v>
      </c>
      <c r="CZ19">
        <v>111.05</v>
      </c>
      <c r="DA19">
        <v>110.13</v>
      </c>
      <c r="DB19">
        <v>94175</v>
      </c>
      <c r="DC19">
        <v>3.774</v>
      </c>
      <c r="DD19">
        <v>110.13</v>
      </c>
      <c r="DE19">
        <v>0.92</v>
      </c>
      <c r="DF19">
        <v>110.64</v>
      </c>
      <c r="DG19">
        <v>3.02</v>
      </c>
      <c r="DH19">
        <v>110.239</v>
      </c>
      <c r="DI19">
        <v>-0.24</v>
      </c>
      <c r="DJ19">
        <v>-0.13100000000000001</v>
      </c>
      <c r="DK19">
        <v>110.212</v>
      </c>
      <c r="DL19">
        <v>-0.109</v>
      </c>
      <c r="DM19">
        <v>0.109</v>
      </c>
      <c r="DN19">
        <v>3.762</v>
      </c>
      <c r="DO19">
        <v>7.9511000000000003</v>
      </c>
      <c r="DP19">
        <v>110.37</v>
      </c>
      <c r="DQ19">
        <v>3.7469999999999999</v>
      </c>
      <c r="DR19">
        <v>285541</v>
      </c>
      <c r="DS19">
        <v>-661</v>
      </c>
      <c r="DT19">
        <v>51710</v>
      </c>
      <c r="DU19">
        <v>42465</v>
      </c>
      <c r="DV19">
        <v>17989</v>
      </c>
      <c r="DW19">
        <v>197</v>
      </c>
      <c r="DX19">
        <v>748</v>
      </c>
      <c r="DY19">
        <v>682</v>
      </c>
      <c r="DZ19">
        <v>182</v>
      </c>
      <c r="EA19">
        <v>-1203</v>
      </c>
      <c r="EB19">
        <v>1073</v>
      </c>
      <c r="EC19">
        <v>1916</v>
      </c>
      <c r="ED19">
        <v>-811</v>
      </c>
      <c r="EF19">
        <v>-1760</v>
      </c>
      <c r="EG19">
        <v>-471</v>
      </c>
      <c r="EH19">
        <v>0</v>
      </c>
      <c r="EI19">
        <v>-77</v>
      </c>
      <c r="EJ19">
        <v>110.632071653</v>
      </c>
      <c r="EK19">
        <v>110.65413488</v>
      </c>
      <c r="EL19">
        <v>110.61777717</v>
      </c>
      <c r="EM19">
        <v>110.586148037</v>
      </c>
      <c r="EN19">
        <v>110.603333022</v>
      </c>
      <c r="EO19">
        <v>110.610701417</v>
      </c>
      <c r="EP19">
        <v>110.693823894</v>
      </c>
      <c r="EQ19">
        <v>110.409458204</v>
      </c>
      <c r="ER19">
        <v>110.648909893</v>
      </c>
      <c r="ES19">
        <v>110.567606195</v>
      </c>
      <c r="ET19">
        <v>110.581692308</v>
      </c>
      <c r="EU19">
        <v>110.619512195</v>
      </c>
      <c r="EV19">
        <v>124.64</v>
      </c>
      <c r="EW19">
        <v>125.1</v>
      </c>
      <c r="EX19">
        <v>125.68</v>
      </c>
      <c r="EY19">
        <v>124.64</v>
      </c>
      <c r="EZ19">
        <v>68</v>
      </c>
      <c r="FA19">
        <v>3.6429999999999998</v>
      </c>
      <c r="FB19">
        <v>124.64</v>
      </c>
      <c r="FC19">
        <v>1.04</v>
      </c>
      <c r="FD19">
        <v>125.23</v>
      </c>
      <c r="FE19">
        <v>2.4</v>
      </c>
      <c r="FF19">
        <v>125.042</v>
      </c>
      <c r="FG19">
        <v>-0.51900000000000002</v>
      </c>
      <c r="FH19">
        <v>-0.11700000000000001</v>
      </c>
      <c r="FI19">
        <v>124.95699999999999</v>
      </c>
      <c r="FJ19">
        <v>-0.40200000000000002</v>
      </c>
      <c r="FK19">
        <v>0.40200000000000002</v>
      </c>
      <c r="FL19">
        <v>3.6240000000000001</v>
      </c>
      <c r="FM19">
        <v>17.012599999999999</v>
      </c>
      <c r="FN19">
        <v>125.15900000000001</v>
      </c>
      <c r="FO19">
        <v>3.6190000000000002</v>
      </c>
      <c r="FP19">
        <v>1729</v>
      </c>
      <c r="FQ19">
        <v>-13</v>
      </c>
      <c r="FR19">
        <v>48</v>
      </c>
      <c r="FS19">
        <v>20</v>
      </c>
      <c r="FT19">
        <v>35</v>
      </c>
      <c r="FU19">
        <v>9</v>
      </c>
      <c r="FV19">
        <v>13</v>
      </c>
      <c r="FW19">
        <v>11</v>
      </c>
      <c r="FX19">
        <v>4</v>
      </c>
      <c r="FY19">
        <v>0</v>
      </c>
      <c r="FZ19">
        <v>0</v>
      </c>
      <c r="GA19">
        <v>0</v>
      </c>
      <c r="GB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125.194117647</v>
      </c>
      <c r="GK19">
        <v>125.258823529</v>
      </c>
      <c r="GL19">
        <v>125.194117647</v>
      </c>
      <c r="GM19">
        <v>125.258823529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 x14ac:dyDescent="0.3">
      <c r="A20" s="2">
        <v>46060</v>
      </c>
      <c r="C20">
        <v>104.94</v>
      </c>
      <c r="D20">
        <v>104.94</v>
      </c>
      <c r="E20">
        <v>104.65</v>
      </c>
      <c r="F20">
        <v>231133</v>
      </c>
      <c r="G20">
        <v>3.3580000000000001</v>
      </c>
      <c r="H20">
        <v>104.65</v>
      </c>
      <c r="I20">
        <v>0.28999999999999998</v>
      </c>
      <c r="J20">
        <v>104.81</v>
      </c>
      <c r="K20">
        <v>1.03</v>
      </c>
      <c r="L20">
        <v>104.8</v>
      </c>
      <c r="M20">
        <v>-0.22600000000000001</v>
      </c>
      <c r="N20">
        <v>-7.5999999999999998E-2</v>
      </c>
      <c r="O20">
        <v>104.795</v>
      </c>
      <c r="P20">
        <v>-0.15</v>
      </c>
      <c r="Q20">
        <v>0.15</v>
      </c>
      <c r="R20">
        <v>3.3069999999999999</v>
      </c>
      <c r="S20">
        <v>2.7808999999999999</v>
      </c>
      <c r="T20">
        <v>104.876</v>
      </c>
      <c r="U20">
        <v>3.28</v>
      </c>
      <c r="V20">
        <v>656150</v>
      </c>
      <c r="W20">
        <v>6745</v>
      </c>
      <c r="X20">
        <v>139200</v>
      </c>
      <c r="Y20">
        <v>91433</v>
      </c>
      <c r="Z20">
        <v>6816</v>
      </c>
      <c r="AA20">
        <v>2406</v>
      </c>
      <c r="AB20">
        <v>7350</v>
      </c>
      <c r="AC20">
        <v>527</v>
      </c>
      <c r="AD20">
        <v>224</v>
      </c>
      <c r="AE20">
        <v>12889</v>
      </c>
      <c r="AF20">
        <v>-13038</v>
      </c>
      <c r="AG20">
        <v>7273</v>
      </c>
      <c r="AH20">
        <v>1021</v>
      </c>
      <c r="AJ20">
        <v>4255</v>
      </c>
      <c r="AK20">
        <v>-180</v>
      </c>
      <c r="AL20">
        <v>0</v>
      </c>
      <c r="AM20">
        <v>520</v>
      </c>
      <c r="AN20">
        <v>104.80779931399999</v>
      </c>
      <c r="AO20">
        <v>104.811652897</v>
      </c>
      <c r="AP20">
        <v>104.793597539</v>
      </c>
      <c r="AQ20">
        <v>104.78710556999999</v>
      </c>
      <c r="AR20">
        <v>104.795059404</v>
      </c>
      <c r="AS20">
        <v>104.79665845300001</v>
      </c>
      <c r="AT20">
        <v>104.808580194</v>
      </c>
      <c r="AU20">
        <v>104.707403199</v>
      </c>
      <c r="AV20">
        <v>104.785090602</v>
      </c>
      <c r="AW20">
        <v>104.788153572</v>
      </c>
      <c r="AX20">
        <v>104.793431373</v>
      </c>
      <c r="AY20">
        <v>104.69724954500001</v>
      </c>
      <c r="AZ20">
        <v>106.66</v>
      </c>
      <c r="BA20">
        <v>106.66</v>
      </c>
      <c r="BB20">
        <v>106.66</v>
      </c>
      <c r="BC20">
        <v>106.66</v>
      </c>
      <c r="BD20">
        <v>0</v>
      </c>
      <c r="BE20">
        <v>3.5350000000000001</v>
      </c>
      <c r="BF20">
        <v>106.9</v>
      </c>
      <c r="BG20">
        <v>0</v>
      </c>
      <c r="BH20">
        <v>106.66</v>
      </c>
      <c r="BI20">
        <v>0</v>
      </c>
      <c r="BJ20">
        <v>106.651</v>
      </c>
      <c r="BK20">
        <v>-0.104</v>
      </c>
      <c r="BL20">
        <v>-0.113</v>
      </c>
      <c r="BM20">
        <v>106.651</v>
      </c>
      <c r="BN20">
        <v>8.9999999999999993E-3</v>
      </c>
      <c r="BO20">
        <v>-8.9999999999999993E-3</v>
      </c>
      <c r="BP20">
        <v>3.5379999999999998</v>
      </c>
      <c r="BQ20">
        <v>4.4268000000000001</v>
      </c>
      <c r="BR20">
        <v>106.764</v>
      </c>
      <c r="BS20">
        <v>3.5129999999999999</v>
      </c>
      <c r="BT20">
        <v>25</v>
      </c>
      <c r="BU20">
        <v>0</v>
      </c>
      <c r="BV20">
        <v>0</v>
      </c>
      <c r="BW20">
        <v>0</v>
      </c>
      <c r="BX20">
        <v>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110.13</v>
      </c>
      <c r="CY20">
        <v>111</v>
      </c>
      <c r="CZ20">
        <v>111.05</v>
      </c>
      <c r="DA20">
        <v>110.13</v>
      </c>
      <c r="DB20">
        <v>94175</v>
      </c>
      <c r="DC20">
        <v>3.774</v>
      </c>
      <c r="DD20">
        <v>110.13</v>
      </c>
      <c r="DE20">
        <v>0.92</v>
      </c>
      <c r="DF20">
        <v>110.64</v>
      </c>
      <c r="DG20">
        <v>3.02</v>
      </c>
      <c r="DH20">
        <v>110.239</v>
      </c>
      <c r="DI20">
        <v>-0.24</v>
      </c>
      <c r="DJ20">
        <v>-0.13100000000000001</v>
      </c>
      <c r="DK20">
        <v>110.212</v>
      </c>
      <c r="DL20">
        <v>-0.109</v>
      </c>
      <c r="DM20">
        <v>0.109</v>
      </c>
      <c r="DN20">
        <v>3.762</v>
      </c>
      <c r="DO20">
        <v>7.9511000000000003</v>
      </c>
      <c r="DP20">
        <v>110.37</v>
      </c>
      <c r="DQ20">
        <v>3.7469999999999999</v>
      </c>
      <c r="DR20">
        <v>285541</v>
      </c>
      <c r="DS20">
        <v>-661</v>
      </c>
      <c r="DT20">
        <v>51710</v>
      </c>
      <c r="DU20">
        <v>42465</v>
      </c>
      <c r="DV20">
        <v>17989</v>
      </c>
      <c r="DW20">
        <v>197</v>
      </c>
      <c r="DX20">
        <v>748</v>
      </c>
      <c r="DY20">
        <v>682</v>
      </c>
      <c r="DZ20">
        <v>182</v>
      </c>
      <c r="EA20">
        <v>-1203</v>
      </c>
      <c r="EB20">
        <v>1073</v>
      </c>
      <c r="EC20">
        <v>1916</v>
      </c>
      <c r="ED20">
        <v>-811</v>
      </c>
      <c r="EF20">
        <v>-1760</v>
      </c>
      <c r="EG20">
        <v>-471</v>
      </c>
      <c r="EH20">
        <v>0</v>
      </c>
      <c r="EI20">
        <v>-77</v>
      </c>
      <c r="EJ20">
        <v>110.632071653</v>
      </c>
      <c r="EK20">
        <v>110.65413488</v>
      </c>
      <c r="EL20">
        <v>110.61777717</v>
      </c>
      <c r="EM20">
        <v>110.586148037</v>
      </c>
      <c r="EN20">
        <v>110.603333022</v>
      </c>
      <c r="EO20">
        <v>110.610701417</v>
      </c>
      <c r="EP20">
        <v>110.693823894</v>
      </c>
      <c r="EQ20">
        <v>110.409458204</v>
      </c>
      <c r="ER20">
        <v>110.648909893</v>
      </c>
      <c r="ES20">
        <v>110.567606195</v>
      </c>
      <c r="ET20">
        <v>110.581692308</v>
      </c>
      <c r="EU20">
        <v>110.619512195</v>
      </c>
      <c r="EV20">
        <v>124.64</v>
      </c>
      <c r="EW20">
        <v>125.1</v>
      </c>
      <c r="EX20">
        <v>125.68</v>
      </c>
      <c r="EY20">
        <v>124.64</v>
      </c>
      <c r="EZ20">
        <v>68</v>
      </c>
      <c r="FA20">
        <v>3.6429999999999998</v>
      </c>
      <c r="FB20">
        <v>124.64</v>
      </c>
      <c r="FC20">
        <v>1.04</v>
      </c>
      <c r="FD20">
        <v>125.23</v>
      </c>
      <c r="FE20">
        <v>2.4</v>
      </c>
      <c r="FF20">
        <v>125.042</v>
      </c>
      <c r="FG20">
        <v>-0.51900000000000002</v>
      </c>
      <c r="FH20">
        <v>-0.11700000000000001</v>
      </c>
      <c r="FI20">
        <v>124.95699999999999</v>
      </c>
      <c r="FJ20">
        <v>-0.40200000000000002</v>
      </c>
      <c r="FK20">
        <v>0.40200000000000002</v>
      </c>
      <c r="FL20">
        <v>3.6240000000000001</v>
      </c>
      <c r="FM20">
        <v>17.012599999999999</v>
      </c>
      <c r="FN20">
        <v>125.15900000000001</v>
      </c>
      <c r="FO20">
        <v>3.6190000000000002</v>
      </c>
      <c r="FP20">
        <v>1729</v>
      </c>
      <c r="FQ20">
        <v>-13</v>
      </c>
      <c r="FR20">
        <v>48</v>
      </c>
      <c r="FS20">
        <v>20</v>
      </c>
      <c r="FT20">
        <v>35</v>
      </c>
      <c r="FU20">
        <v>9</v>
      </c>
      <c r="FV20">
        <v>13</v>
      </c>
      <c r="FW20">
        <v>11</v>
      </c>
      <c r="FX20">
        <v>4</v>
      </c>
      <c r="FY20">
        <v>0</v>
      </c>
      <c r="FZ20">
        <v>0</v>
      </c>
      <c r="GA20">
        <v>0</v>
      </c>
      <c r="GB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125.194117647</v>
      </c>
      <c r="GK20">
        <v>125.258823529</v>
      </c>
      <c r="GL20">
        <v>125.194117647</v>
      </c>
      <c r="GM20">
        <v>125.258823529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 x14ac:dyDescent="0.3">
      <c r="A21" s="2">
        <v>46061</v>
      </c>
      <c r="C21">
        <v>104.94</v>
      </c>
      <c r="D21">
        <v>104.94</v>
      </c>
      <c r="E21">
        <v>104.65</v>
      </c>
      <c r="F21">
        <v>231133</v>
      </c>
      <c r="G21">
        <v>3.3580000000000001</v>
      </c>
      <c r="H21">
        <v>104.65</v>
      </c>
      <c r="I21">
        <v>0.28999999999999998</v>
      </c>
      <c r="J21">
        <v>104.81</v>
      </c>
      <c r="K21">
        <v>1.03</v>
      </c>
      <c r="L21">
        <v>104.8</v>
      </c>
      <c r="M21">
        <v>-0.22600000000000001</v>
      </c>
      <c r="N21">
        <v>-7.5999999999999998E-2</v>
      </c>
      <c r="O21">
        <v>104.795</v>
      </c>
      <c r="P21">
        <v>-0.15</v>
      </c>
      <c r="Q21">
        <v>0.15</v>
      </c>
      <c r="R21">
        <v>3.3069999999999999</v>
      </c>
      <c r="S21">
        <v>2.7808999999999999</v>
      </c>
      <c r="T21">
        <v>104.876</v>
      </c>
      <c r="U21">
        <v>3.28</v>
      </c>
      <c r="V21">
        <v>656150</v>
      </c>
      <c r="W21">
        <v>6745</v>
      </c>
      <c r="X21">
        <v>139200</v>
      </c>
      <c r="Y21">
        <v>91433</v>
      </c>
      <c r="Z21">
        <v>6816</v>
      </c>
      <c r="AA21">
        <v>2406</v>
      </c>
      <c r="AB21">
        <v>7350</v>
      </c>
      <c r="AC21">
        <v>527</v>
      </c>
      <c r="AD21">
        <v>224</v>
      </c>
      <c r="AE21">
        <v>12889</v>
      </c>
      <c r="AF21">
        <v>-13038</v>
      </c>
      <c r="AG21">
        <v>7273</v>
      </c>
      <c r="AH21">
        <v>1021</v>
      </c>
      <c r="AJ21">
        <v>4255</v>
      </c>
      <c r="AK21">
        <v>-180</v>
      </c>
      <c r="AL21">
        <v>0</v>
      </c>
      <c r="AM21">
        <v>520</v>
      </c>
      <c r="AN21">
        <v>104.80779931399999</v>
      </c>
      <c r="AO21">
        <v>104.811652897</v>
      </c>
      <c r="AP21">
        <v>104.793597539</v>
      </c>
      <c r="AQ21">
        <v>104.78710556999999</v>
      </c>
      <c r="AR21">
        <v>104.795059404</v>
      </c>
      <c r="AS21">
        <v>104.79665845300001</v>
      </c>
      <c r="AT21">
        <v>104.808580194</v>
      </c>
      <c r="AU21">
        <v>104.707403199</v>
      </c>
      <c r="AV21">
        <v>104.785090602</v>
      </c>
      <c r="AW21">
        <v>104.788153572</v>
      </c>
      <c r="AX21">
        <v>104.793431373</v>
      </c>
      <c r="AY21">
        <v>104.69724954500001</v>
      </c>
      <c r="AZ21">
        <v>106.66</v>
      </c>
      <c r="BA21">
        <v>106.66</v>
      </c>
      <c r="BB21">
        <v>106.66</v>
      </c>
      <c r="BC21">
        <v>106.66</v>
      </c>
      <c r="BD21">
        <v>0</v>
      </c>
      <c r="BE21">
        <v>3.5350000000000001</v>
      </c>
      <c r="BF21">
        <v>106.9</v>
      </c>
      <c r="BG21">
        <v>0</v>
      </c>
      <c r="BH21">
        <v>106.66</v>
      </c>
      <c r="BI21">
        <v>0</v>
      </c>
      <c r="BJ21">
        <v>106.651</v>
      </c>
      <c r="BK21">
        <v>-0.104</v>
      </c>
      <c r="BL21">
        <v>-0.113</v>
      </c>
      <c r="BM21">
        <v>106.651</v>
      </c>
      <c r="BN21">
        <v>8.9999999999999993E-3</v>
      </c>
      <c r="BO21">
        <v>-8.9999999999999993E-3</v>
      </c>
      <c r="BP21">
        <v>3.5379999999999998</v>
      </c>
      <c r="BQ21">
        <v>4.4268000000000001</v>
      </c>
      <c r="BR21">
        <v>106.764</v>
      </c>
      <c r="BS21">
        <v>3.5129999999999999</v>
      </c>
      <c r="BT21">
        <v>25</v>
      </c>
      <c r="BU21">
        <v>0</v>
      </c>
      <c r="BV21">
        <v>0</v>
      </c>
      <c r="BW21">
        <v>0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110.13</v>
      </c>
      <c r="CY21">
        <v>111</v>
      </c>
      <c r="CZ21">
        <v>111.05</v>
      </c>
      <c r="DA21">
        <v>110.13</v>
      </c>
      <c r="DB21">
        <v>94175</v>
      </c>
      <c r="DC21">
        <v>3.774</v>
      </c>
      <c r="DD21">
        <v>110.13</v>
      </c>
      <c r="DE21">
        <v>0.92</v>
      </c>
      <c r="DF21">
        <v>110.64</v>
      </c>
      <c r="DG21">
        <v>3.02</v>
      </c>
      <c r="DH21">
        <v>110.239</v>
      </c>
      <c r="DI21">
        <v>-0.24</v>
      </c>
      <c r="DJ21">
        <v>-0.13100000000000001</v>
      </c>
      <c r="DK21">
        <v>110.212</v>
      </c>
      <c r="DL21">
        <v>-0.109</v>
      </c>
      <c r="DM21">
        <v>0.109</v>
      </c>
      <c r="DN21">
        <v>3.762</v>
      </c>
      <c r="DO21">
        <v>7.9511000000000003</v>
      </c>
      <c r="DP21">
        <v>110.37</v>
      </c>
      <c r="DQ21">
        <v>3.7469999999999999</v>
      </c>
      <c r="DR21">
        <v>285541</v>
      </c>
      <c r="DS21">
        <v>-661</v>
      </c>
      <c r="DT21">
        <v>51710</v>
      </c>
      <c r="DU21">
        <v>42465</v>
      </c>
      <c r="DV21">
        <v>17989</v>
      </c>
      <c r="DW21">
        <v>197</v>
      </c>
      <c r="DX21">
        <v>748</v>
      </c>
      <c r="DY21">
        <v>682</v>
      </c>
      <c r="DZ21">
        <v>182</v>
      </c>
      <c r="EA21">
        <v>-1203</v>
      </c>
      <c r="EB21">
        <v>1073</v>
      </c>
      <c r="EC21">
        <v>1916</v>
      </c>
      <c r="ED21">
        <v>-811</v>
      </c>
      <c r="EF21">
        <v>-1760</v>
      </c>
      <c r="EG21">
        <v>-471</v>
      </c>
      <c r="EH21">
        <v>0</v>
      </c>
      <c r="EI21">
        <v>-77</v>
      </c>
      <c r="EJ21">
        <v>110.632071653</v>
      </c>
      <c r="EK21">
        <v>110.65413488</v>
      </c>
      <c r="EL21">
        <v>110.61777717</v>
      </c>
      <c r="EM21">
        <v>110.586148037</v>
      </c>
      <c r="EN21">
        <v>110.603333022</v>
      </c>
      <c r="EO21">
        <v>110.610701417</v>
      </c>
      <c r="EP21">
        <v>110.693823894</v>
      </c>
      <c r="EQ21">
        <v>110.409458204</v>
      </c>
      <c r="ER21">
        <v>110.648909893</v>
      </c>
      <c r="ES21">
        <v>110.567606195</v>
      </c>
      <c r="ET21">
        <v>110.581692308</v>
      </c>
      <c r="EU21">
        <v>110.619512195</v>
      </c>
      <c r="EV21">
        <v>124.64</v>
      </c>
      <c r="EW21">
        <v>125.1</v>
      </c>
      <c r="EX21">
        <v>125.68</v>
      </c>
      <c r="EY21">
        <v>124.64</v>
      </c>
      <c r="EZ21">
        <v>68</v>
      </c>
      <c r="FA21">
        <v>3.6429999999999998</v>
      </c>
      <c r="FB21">
        <v>124.64</v>
      </c>
      <c r="FC21">
        <v>1.04</v>
      </c>
      <c r="FD21">
        <v>125.23</v>
      </c>
      <c r="FE21">
        <v>2.4</v>
      </c>
      <c r="FF21">
        <v>125.042</v>
      </c>
      <c r="FG21">
        <v>-0.51900000000000002</v>
      </c>
      <c r="FH21">
        <v>-0.11700000000000001</v>
      </c>
      <c r="FI21">
        <v>124.95699999999999</v>
      </c>
      <c r="FJ21">
        <v>-0.40200000000000002</v>
      </c>
      <c r="FK21">
        <v>0.40200000000000002</v>
      </c>
      <c r="FL21">
        <v>3.6240000000000001</v>
      </c>
      <c r="FM21">
        <v>17.012599999999999</v>
      </c>
      <c r="FN21">
        <v>125.15900000000001</v>
      </c>
      <c r="FO21">
        <v>3.6190000000000002</v>
      </c>
      <c r="FP21">
        <v>1729</v>
      </c>
      <c r="FQ21">
        <v>-13</v>
      </c>
      <c r="FR21">
        <v>48</v>
      </c>
      <c r="FS21">
        <v>20</v>
      </c>
      <c r="FT21">
        <v>35</v>
      </c>
      <c r="FU21">
        <v>9</v>
      </c>
      <c r="FV21">
        <v>13</v>
      </c>
      <c r="FW21">
        <v>11</v>
      </c>
      <c r="FX21">
        <v>4</v>
      </c>
      <c r="FY21">
        <v>0</v>
      </c>
      <c r="FZ21">
        <v>0</v>
      </c>
      <c r="GA21">
        <v>0</v>
      </c>
      <c r="GB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125.194117647</v>
      </c>
      <c r="GK21">
        <v>125.258823529</v>
      </c>
      <c r="GL21">
        <v>125.194117647</v>
      </c>
      <c r="GM21">
        <v>125.258823529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 x14ac:dyDescent="0.3">
      <c r="A22" s="2">
        <v>46062</v>
      </c>
      <c r="C22">
        <v>104.65</v>
      </c>
      <c r="D22">
        <v>104.73</v>
      </c>
      <c r="E22">
        <v>104.57</v>
      </c>
      <c r="F22">
        <v>241188</v>
      </c>
      <c r="G22">
        <v>3.351</v>
      </c>
      <c r="H22">
        <v>104.67</v>
      </c>
      <c r="I22">
        <v>0.16</v>
      </c>
      <c r="J22">
        <v>104.81</v>
      </c>
      <c r="K22">
        <v>1.03</v>
      </c>
      <c r="L22">
        <v>104.786</v>
      </c>
      <c r="M22">
        <v>-0.186</v>
      </c>
      <c r="N22">
        <v>-7.0000000000000007E-2</v>
      </c>
      <c r="O22">
        <v>104.795</v>
      </c>
      <c r="P22">
        <v>-0.11600000000000001</v>
      </c>
      <c r="Q22">
        <v>0.11600000000000001</v>
      </c>
      <c r="R22">
        <v>3.3109999999999999</v>
      </c>
      <c r="S22">
        <v>2.7810000000000001</v>
      </c>
      <c r="T22">
        <v>104.85599999999999</v>
      </c>
      <c r="U22">
        <v>3.2869999999999999</v>
      </c>
      <c r="V22">
        <v>643800</v>
      </c>
      <c r="W22">
        <v>-12350</v>
      </c>
      <c r="X22">
        <v>118051</v>
      </c>
      <c r="Y22">
        <v>122537</v>
      </c>
      <c r="Z22">
        <v>6816</v>
      </c>
      <c r="AA22">
        <v>5791</v>
      </c>
      <c r="AB22">
        <v>2731</v>
      </c>
      <c r="AC22">
        <v>321</v>
      </c>
      <c r="AD22">
        <v>251</v>
      </c>
      <c r="AE22">
        <v>-4440</v>
      </c>
      <c r="AF22">
        <v>4621</v>
      </c>
      <c r="AG22">
        <v>245</v>
      </c>
      <c r="AH22">
        <v>-834</v>
      </c>
      <c r="AJ22">
        <v>-6350</v>
      </c>
      <c r="AK22">
        <v>1381</v>
      </c>
      <c r="AL22">
        <v>0</v>
      </c>
      <c r="AM22">
        <v>1118</v>
      </c>
      <c r="AN22">
        <v>104.667103697</v>
      </c>
      <c r="AO22">
        <v>104.664819909</v>
      </c>
      <c r="AP22">
        <v>104.66545981599999</v>
      </c>
      <c r="AQ22">
        <v>104.667492219</v>
      </c>
      <c r="AR22">
        <v>104.66298904</v>
      </c>
      <c r="AS22">
        <v>104.66533896999999</v>
      </c>
      <c r="AT22">
        <v>104.658855285</v>
      </c>
      <c r="AU22">
        <v>104.654458941</v>
      </c>
      <c r="AV22">
        <v>104.674173291</v>
      </c>
      <c r="AW22">
        <v>104.675404271</v>
      </c>
      <c r="AX22">
        <v>104.674037267</v>
      </c>
      <c r="AY22">
        <v>104.677598253</v>
      </c>
      <c r="AZ22">
        <v>106.9</v>
      </c>
      <c r="BA22">
        <v>106.9</v>
      </c>
      <c r="BB22">
        <v>106.9</v>
      </c>
      <c r="BC22">
        <v>106.9</v>
      </c>
      <c r="BD22">
        <v>0</v>
      </c>
      <c r="BE22">
        <v>3.484</v>
      </c>
      <c r="BF22">
        <v>106.66</v>
      </c>
      <c r="BG22">
        <v>0</v>
      </c>
      <c r="BH22">
        <v>106.66</v>
      </c>
      <c r="BI22">
        <v>0</v>
      </c>
      <c r="BJ22">
        <v>106.538</v>
      </c>
      <c r="BK22">
        <v>0.25800000000000001</v>
      </c>
      <c r="BL22">
        <v>-0.104</v>
      </c>
      <c r="BM22">
        <v>106.651</v>
      </c>
      <c r="BN22">
        <v>0.36199999999999999</v>
      </c>
      <c r="BO22">
        <v>-0.36199999999999999</v>
      </c>
      <c r="BP22">
        <v>3.5609999999999999</v>
      </c>
      <c r="BQ22">
        <v>4.4284999999999997</v>
      </c>
      <c r="BR22">
        <v>106.642</v>
      </c>
      <c r="BS22">
        <v>3.5390000000000001</v>
      </c>
      <c r="BT22">
        <v>25</v>
      </c>
      <c r="BU22">
        <v>0</v>
      </c>
      <c r="BV22">
        <v>0</v>
      </c>
      <c r="BW22">
        <v>0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109.87</v>
      </c>
      <c r="CY22">
        <v>110.03</v>
      </c>
      <c r="CZ22">
        <v>110.27</v>
      </c>
      <c r="DA22">
        <v>109.62</v>
      </c>
      <c r="DB22">
        <v>113544</v>
      </c>
      <c r="DC22">
        <v>3.8039999999999998</v>
      </c>
      <c r="DD22">
        <v>109.87</v>
      </c>
      <c r="DE22">
        <v>0.65</v>
      </c>
      <c r="DF22">
        <v>110.64</v>
      </c>
      <c r="DG22">
        <v>3.02</v>
      </c>
      <c r="DH22">
        <v>110.002</v>
      </c>
      <c r="DI22">
        <v>-0.255</v>
      </c>
      <c r="DJ22">
        <v>-0.123</v>
      </c>
      <c r="DK22">
        <v>110.212</v>
      </c>
      <c r="DL22">
        <v>-0.13200000000000001</v>
      </c>
      <c r="DM22">
        <v>0.13200000000000001</v>
      </c>
      <c r="DN22">
        <v>3.7890000000000001</v>
      </c>
      <c r="DO22">
        <v>7.9473000000000003</v>
      </c>
      <c r="DP22">
        <v>110.125</v>
      </c>
      <c r="DQ22">
        <v>3.7749999999999999</v>
      </c>
      <c r="DR22">
        <v>291616</v>
      </c>
      <c r="DS22">
        <v>6075</v>
      </c>
      <c r="DT22">
        <v>57749</v>
      </c>
      <c r="DU22">
        <v>54678</v>
      </c>
      <c r="DV22">
        <v>17989</v>
      </c>
      <c r="DW22">
        <v>701</v>
      </c>
      <c r="DX22">
        <v>872</v>
      </c>
      <c r="DY22">
        <v>503</v>
      </c>
      <c r="DZ22">
        <v>170</v>
      </c>
      <c r="EA22">
        <v>-4669</v>
      </c>
      <c r="EB22">
        <v>4556</v>
      </c>
      <c r="EC22">
        <v>-670</v>
      </c>
      <c r="ED22">
        <v>-133</v>
      </c>
      <c r="EF22">
        <v>-3988</v>
      </c>
      <c r="EG22">
        <v>-220</v>
      </c>
      <c r="EH22">
        <v>0</v>
      </c>
      <c r="EI22">
        <v>342</v>
      </c>
      <c r="EJ22">
        <v>109.96690306399999</v>
      </c>
      <c r="EK22">
        <v>109.971874215</v>
      </c>
      <c r="EL22">
        <v>109.966968859</v>
      </c>
      <c r="EM22">
        <v>109.958993865</v>
      </c>
      <c r="EN22">
        <v>109.97532410300001</v>
      </c>
      <c r="EO22">
        <v>109.962814589</v>
      </c>
      <c r="EP22">
        <v>109.89498577499999</v>
      </c>
      <c r="EQ22">
        <v>109.943833658</v>
      </c>
      <c r="ER22">
        <v>109.93475664499999</v>
      </c>
      <c r="ES22">
        <v>109.949377278</v>
      </c>
      <c r="ET22">
        <v>109.87287539899999</v>
      </c>
      <c r="EU22">
        <v>109.92399624799999</v>
      </c>
      <c r="EV22">
        <v>124.12</v>
      </c>
      <c r="EW22">
        <v>124.74</v>
      </c>
      <c r="EX22">
        <v>124.9</v>
      </c>
      <c r="EY22">
        <v>123.94</v>
      </c>
      <c r="EZ22">
        <v>242</v>
      </c>
      <c r="FA22">
        <v>3.6669999999999998</v>
      </c>
      <c r="FB22">
        <v>124.12</v>
      </c>
      <c r="FC22">
        <v>0.96</v>
      </c>
      <c r="FD22">
        <v>125.23</v>
      </c>
      <c r="FE22">
        <v>2.4</v>
      </c>
      <c r="FF22">
        <v>124.363</v>
      </c>
      <c r="FG22">
        <v>-0.36</v>
      </c>
      <c r="FH22">
        <v>-0.11700000000000001</v>
      </c>
      <c r="FI22">
        <v>124.95699999999999</v>
      </c>
      <c r="FJ22">
        <v>-0.24299999999999999</v>
      </c>
      <c r="FK22">
        <v>0.24299999999999999</v>
      </c>
      <c r="FL22">
        <v>3.6560000000000001</v>
      </c>
      <c r="FM22">
        <v>16.984100000000002</v>
      </c>
      <c r="FN22">
        <v>124.48</v>
      </c>
      <c r="FO22">
        <v>3.6509999999999998</v>
      </c>
      <c r="FP22">
        <v>1741</v>
      </c>
      <c r="FQ22">
        <v>12</v>
      </c>
      <c r="FR22">
        <v>190</v>
      </c>
      <c r="FS22">
        <v>52</v>
      </c>
      <c r="FT22">
        <v>35</v>
      </c>
      <c r="FU22">
        <v>63</v>
      </c>
      <c r="FV22">
        <v>64</v>
      </c>
      <c r="FW22">
        <v>5</v>
      </c>
      <c r="FX22">
        <v>6</v>
      </c>
      <c r="FY22">
        <v>3</v>
      </c>
      <c r="FZ22">
        <v>0</v>
      </c>
      <c r="GA22">
        <v>-130</v>
      </c>
      <c r="GB22">
        <v>0</v>
      </c>
      <c r="GD22">
        <v>0</v>
      </c>
      <c r="GE22">
        <v>133</v>
      </c>
      <c r="GF22">
        <v>0</v>
      </c>
      <c r="GG22">
        <v>0</v>
      </c>
      <c r="GH22">
        <v>0</v>
      </c>
      <c r="GI22">
        <v>0</v>
      </c>
      <c r="GJ22">
        <v>124.566583333</v>
      </c>
      <c r="GK22">
        <v>124.562869198</v>
      </c>
      <c r="GL22">
        <v>124.495140187</v>
      </c>
      <c r="GM22">
        <v>124.562869198</v>
      </c>
      <c r="GN22">
        <v>0</v>
      </c>
      <c r="GO22">
        <v>0</v>
      </c>
      <c r="GP22">
        <v>0</v>
      </c>
      <c r="GQ22">
        <v>0</v>
      </c>
      <c r="GR22">
        <v>124.62406015000001</v>
      </c>
      <c r="GS22">
        <v>0</v>
      </c>
    </row>
    <row r="23" spans="1:201" x14ac:dyDescent="0.3">
      <c r="A23" s="2">
        <v>46063</v>
      </c>
    </row>
    <row r="24" spans="1:201" x14ac:dyDescent="0.3">
      <c r="A24" s="2"/>
    </row>
    <row r="25" spans="1:201" x14ac:dyDescent="0.3">
      <c r="A25" s="2"/>
    </row>
    <row r="26" spans="1:201" x14ac:dyDescent="0.3">
      <c r="A26" s="2"/>
    </row>
    <row r="27" spans="1:201" x14ac:dyDescent="0.3">
      <c r="A27" s="2"/>
    </row>
    <row r="28" spans="1:201" x14ac:dyDescent="0.3">
      <c r="A28" s="2"/>
    </row>
    <row r="29" spans="1:201" x14ac:dyDescent="0.3">
      <c r="A29" s="2"/>
    </row>
    <row r="30" spans="1:201" x14ac:dyDescent="0.3">
      <c r="A30" s="2"/>
    </row>
    <row r="31" spans="1:201" x14ac:dyDescent="0.3">
      <c r="A31" s="2"/>
    </row>
    <row r="32" spans="1:20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2026-02-09T15:36:19Z</dcterms:created>
  <dcterms:modified xsi:type="dcterms:W3CDTF">2026-02-09T15:37:18Z</dcterms:modified>
</cp:coreProperties>
</file>